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011" codeName="{00000000-0000-0000-0000-000000000000}"/>
  <workbookPr codeName="ThisWorkbook"/>
  <mc:AlternateContent xmlns:mc="http://schemas.openxmlformats.org/markup-compatibility/2006">
    <mc:Choice Requires="x15">
      <x15ac:absPath xmlns:x15ac="http://schemas.microsoft.com/office/spreadsheetml/2010/11/ac" url="/Users/lionel/Public/Github/Thesis/latex2/ch1_gridshell/"/>
    </mc:Choice>
  </mc:AlternateContent>
  <bookViews>
    <workbookView xWindow="0" yWindow="460" windowWidth="25600" windowHeight="15460" tabRatio="500"/>
  </bookViews>
  <sheets>
    <sheet name="Feuil1" sheetId="1" r:id="rId1"/>
    <sheet name="Buble" sheetId="3" r:id="rId2"/>
    <sheet name="Feuil2" sheetId="2" r:id="rId3"/>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19" i="1" l="1"/>
  <c r="A20" i="1"/>
  <c r="A21" i="1"/>
  <c r="A22" i="1"/>
  <c r="A23" i="1"/>
  <c r="A24" i="1"/>
  <c r="A25" i="1"/>
  <c r="A26" i="1"/>
  <c r="A27" i="1"/>
  <c r="A28" i="1"/>
  <c r="A29" i="1"/>
  <c r="A30" i="1"/>
  <c r="A31" i="1"/>
  <c r="A32" i="1"/>
  <c r="A33" i="1"/>
  <c r="A34" i="1"/>
  <c r="A35" i="1"/>
  <c r="A36" i="1"/>
  <c r="A37" i="1"/>
  <c r="A38" i="1"/>
  <c r="A3" i="1"/>
  <c r="A4" i="1"/>
  <c r="A5" i="1"/>
  <c r="A6" i="1"/>
  <c r="A7" i="1"/>
  <c r="A8" i="1"/>
  <c r="A9" i="1"/>
  <c r="A10" i="1"/>
  <c r="A11" i="1"/>
  <c r="A12" i="1"/>
  <c r="A13" i="1"/>
  <c r="A14" i="1"/>
  <c r="A15" i="1"/>
  <c r="A16" i="1"/>
  <c r="A17" i="1"/>
  <c r="A18" i="1"/>
  <c r="Z22" i="1"/>
  <c r="A3" i="3"/>
  <c r="B3" i="3"/>
  <c r="C3" i="3"/>
  <c r="D3" i="3"/>
  <c r="A4" i="3"/>
  <c r="B4" i="3"/>
  <c r="C4" i="3"/>
  <c r="D4" i="3"/>
  <c r="A5" i="3"/>
  <c r="B5" i="3"/>
  <c r="C5" i="3"/>
  <c r="D5" i="3"/>
  <c r="A6" i="3"/>
  <c r="B6" i="3"/>
  <c r="C6" i="3"/>
  <c r="D6" i="3"/>
  <c r="A7" i="3"/>
  <c r="B7" i="3"/>
  <c r="C7" i="3"/>
  <c r="D7" i="3"/>
  <c r="A8" i="3"/>
  <c r="B8" i="3"/>
  <c r="C8" i="3"/>
  <c r="D8" i="3"/>
  <c r="A9" i="3"/>
  <c r="B9" i="3"/>
  <c r="C9" i="3"/>
  <c r="D9" i="3"/>
  <c r="A10" i="3"/>
  <c r="B10" i="3"/>
  <c r="C10" i="3"/>
  <c r="D10" i="3"/>
  <c r="A11" i="3"/>
  <c r="B11" i="3"/>
  <c r="C11" i="3"/>
  <c r="D11" i="3"/>
  <c r="A12" i="3"/>
  <c r="B12" i="3"/>
  <c r="C12" i="3"/>
  <c r="D12" i="3"/>
  <c r="A13" i="3"/>
  <c r="B13" i="3"/>
  <c r="C13" i="3"/>
  <c r="D13" i="3"/>
  <c r="A14" i="3"/>
  <c r="B14" i="3"/>
  <c r="C14" i="3"/>
  <c r="D14" i="3"/>
  <c r="A15" i="3"/>
  <c r="B15" i="3"/>
  <c r="C15" i="3"/>
  <c r="D15" i="3"/>
  <c r="A16" i="3"/>
  <c r="B16" i="3"/>
  <c r="C16" i="3"/>
  <c r="D16" i="3"/>
  <c r="A17" i="3"/>
  <c r="B17" i="3"/>
  <c r="C17" i="3"/>
  <c r="D17" i="3"/>
  <c r="A18" i="3"/>
  <c r="B18" i="3"/>
  <c r="C18" i="3"/>
  <c r="D18" i="3"/>
  <c r="A19" i="3"/>
  <c r="B19" i="3"/>
  <c r="C19" i="3"/>
  <c r="D19" i="3"/>
  <c r="A20" i="3"/>
  <c r="B20" i="3"/>
  <c r="C20" i="3"/>
  <c r="D20" i="3"/>
  <c r="A21" i="3"/>
  <c r="B21" i="3"/>
  <c r="C21" i="3"/>
  <c r="D21" i="3"/>
  <c r="A22" i="3"/>
  <c r="B22" i="3"/>
  <c r="C22" i="3"/>
  <c r="D22" i="3"/>
  <c r="A23" i="3"/>
  <c r="B23" i="3"/>
  <c r="C23" i="3"/>
  <c r="D23" i="3"/>
  <c r="A24" i="3"/>
  <c r="B24" i="3"/>
  <c r="C24" i="3"/>
  <c r="D24" i="3"/>
  <c r="A25" i="3"/>
  <c r="B25" i="3"/>
  <c r="C25" i="3"/>
  <c r="D25" i="3"/>
  <c r="A26" i="3"/>
  <c r="B26" i="3"/>
  <c r="C26" i="3"/>
  <c r="D26" i="3"/>
  <c r="A27" i="3"/>
  <c r="B27" i="3"/>
  <c r="C27" i="3"/>
  <c r="D27" i="3"/>
  <c r="A28" i="3"/>
  <c r="B28" i="3"/>
  <c r="C28" i="3"/>
  <c r="D28" i="3"/>
  <c r="A29" i="3"/>
  <c r="B29" i="3"/>
  <c r="C29" i="3"/>
  <c r="D29" i="3"/>
  <c r="A30" i="3"/>
  <c r="B30" i="3"/>
  <c r="C30" i="3"/>
  <c r="D30" i="3"/>
  <c r="A31" i="3"/>
  <c r="B31" i="3"/>
  <c r="C31" i="3"/>
  <c r="D31" i="3"/>
  <c r="A32" i="3"/>
  <c r="B32" i="3"/>
  <c r="C32" i="3"/>
  <c r="D32" i="3"/>
  <c r="A33" i="3"/>
  <c r="B33" i="3"/>
  <c r="C33" i="3"/>
  <c r="D33" i="3"/>
  <c r="D2" i="3"/>
  <c r="C2" i="3"/>
  <c r="B2" i="3"/>
  <c r="A2" i="3"/>
  <c r="Z30" i="1"/>
  <c r="Z26" i="1"/>
  <c r="Z34" i="1"/>
  <c r="Z33" i="1"/>
  <c r="Z32" i="1"/>
  <c r="Z2" i="1"/>
  <c r="Z3" i="1"/>
  <c r="Z4" i="1"/>
  <c r="Z5" i="1"/>
  <c r="Z6" i="1"/>
  <c r="Z7" i="1"/>
  <c r="Z8" i="1"/>
  <c r="Z9" i="1"/>
  <c r="Z10" i="1"/>
  <c r="Z11" i="1"/>
  <c r="Z12" i="1"/>
  <c r="Z13" i="1"/>
  <c r="Z14" i="1"/>
  <c r="Z15" i="1"/>
  <c r="Z16" i="1"/>
  <c r="Z17" i="1"/>
  <c r="Z18" i="1"/>
  <c r="Z19" i="1"/>
  <c r="Z20" i="1"/>
  <c r="Z23" i="1"/>
  <c r="Z24" i="1"/>
  <c r="Z25" i="1"/>
  <c r="Z27" i="1"/>
  <c r="Z35" i="1"/>
  <c r="Z36" i="1"/>
  <c r="Z37" i="1"/>
  <c r="Z38" i="1"/>
  <c r="Z39" i="1"/>
  <c r="Z40" i="1"/>
  <c r="Z41" i="1"/>
  <c r="Z42" i="1"/>
  <c r="Z43" i="1"/>
  <c r="Z44" i="1"/>
  <c r="Z45" i="1"/>
  <c r="Z46" i="1"/>
  <c r="Z47" i="1"/>
  <c r="Z48" i="1"/>
  <c r="Z1" i="1"/>
  <c r="AA1" i="1"/>
  <c r="AA3" i="1"/>
  <c r="AA2" i="1"/>
</calcChain>
</file>

<file path=xl/sharedStrings.xml><?xml version="1.0" encoding="utf-8"?>
<sst xmlns="http://schemas.openxmlformats.org/spreadsheetml/2006/main" count="885" uniqueCount="498">
  <si>
    <t>Date</t>
  </si>
  <si>
    <t>Mannheim</t>
  </si>
  <si>
    <t>Pishwanton</t>
  </si>
  <si>
    <t>Downland</t>
  </si>
  <si>
    <t>Savill</t>
  </si>
  <si>
    <t>Navier</t>
  </si>
  <si>
    <t>Solidays</t>
  </si>
  <si>
    <t>Toulouse</t>
  </si>
  <si>
    <t>Montpellier</t>
  </si>
  <si>
    <t>ENPC</t>
  </si>
  <si>
    <t>Material</t>
  </si>
  <si>
    <t>Layer</t>
  </si>
  <si>
    <t>Bracing</t>
  </si>
  <si>
    <t>Cladding</t>
  </si>
  <si>
    <t>Buro Happold</t>
  </si>
  <si>
    <t>Harris2003</t>
  </si>
  <si>
    <t>Harris2008</t>
  </si>
  <si>
    <t>Wood - Larch</t>
  </si>
  <si>
    <t>layer</t>
  </si>
  <si>
    <t>material</t>
  </si>
  <si>
    <t>double</t>
  </si>
  <si>
    <t>cross section</t>
  </si>
  <si>
    <t>cladding</t>
  </si>
  <si>
    <t>grid pitch</t>
  </si>
  <si>
    <t>bracing</t>
  </si>
  <si>
    <t>80x50mm</t>
  </si>
  <si>
    <t>span</t>
  </si>
  <si>
    <t>Place</t>
  </si>
  <si>
    <t>Savill, UK</t>
  </si>
  <si>
    <t>connexion</t>
  </si>
  <si>
    <t>double with shear blocks</t>
  </si>
  <si>
    <t>Architecte</t>
  </si>
  <si>
    <t>Glenn Howells</t>
  </si>
  <si>
    <t>Enginner</t>
  </si>
  <si>
    <t>Construction</t>
  </si>
  <si>
    <t>Green Oak Carpentry</t>
  </si>
  <si>
    <t>90x25m</t>
  </si>
  <si>
    <t>erection</t>
  </si>
  <si>
    <t>160mm of insulation, covered by an aluminium profiled standing-seam skin which is the waterproof layer and provides support for the oak rain-screen</t>
  </si>
  <si>
    <t>For the Savill Building, the bottom two laths were bent into
shape, then the shear blocks were screwed into position. The upper two laths were positioned over the shear blocks and screwed into place. This technique enabled greater spacing of the layers than achieved on previous gridshells, leading to greater out-of-plane strength and stiffness.</t>
  </si>
  <si>
    <t>Edge connection</t>
  </si>
  <si>
    <t>weight</t>
  </si>
  <si>
    <t>30t</t>
  </si>
  <si>
    <t>Site jointing</t>
  </si>
  <si>
    <t>The next stage in the process was to join the 6m lengths of ‘improved‘ timber to produce continuous laths. Some of the secondary trimming timbers were as much as 100m long. This work was carried out on site under the protection of a polytunnel. The 6m lengths were joined using scarf joints with a slope 1 in 7. The gridshell lattice would require 20 000m of lath, which were finger</t>
  </si>
  <si>
    <t>jointed into 6m lengths and then scarf-jointed into 260 continuous single pieces each up to 35m long. 10 000 finger joints and 1000 scarf joints comprise the structural jointing.</t>
  </si>
  <si>
    <t>Ref</t>
  </si>
  <si>
    <t>https://glennhowells.co.uk/project/savill-building/</t>
  </si>
  <si>
    <t>http://cullinanstudio.com/project/downland-gridshell</t>
  </si>
  <si>
    <t>Url</t>
  </si>
  <si>
    <t>2002</t>
  </si>
  <si>
    <t>Cullinan Studio</t>
  </si>
  <si>
    <t>Purpose</t>
  </si>
  <si>
    <t>2000</t>
  </si>
  <si>
    <t>Buro Happold + Frei Otto</t>
  </si>
  <si>
    <t>Hannover, Germany</t>
  </si>
  <si>
    <t>72x35m</t>
  </si>
  <si>
    <t>single</t>
  </si>
  <si>
    <t>lace</t>
  </si>
  <si>
    <t>Takenaka</t>
  </si>
  <si>
    <t>diagonals</t>
  </si>
  <si>
    <t>cardboard tubes</t>
  </si>
  <si>
    <t>http://inspiration.detail.de/japanese-pavilion-at-the-expo-in-hanover-106867.html?lang=en</t>
  </si>
  <si>
    <t>pvc membrane on top of a paper membrane (fireproof parper with glass-fibre reinforcement and laminated fireproff film of polyethylene.</t>
  </si>
  <si>
    <t>Buro Happold + Chris Williams</t>
  </si>
  <si>
    <t>http://cullinanstudio.com/project/hooke-park</t>
  </si>
  <si>
    <t>48x15</t>
  </si>
  <si>
    <t>1.0m</t>
  </si>
  <si>
    <t>50x35mm</t>
  </si>
  <si>
    <t>Wood - Oak</t>
  </si>
  <si>
    <t>glulam lader arches (creep), steel cables, diagonals</t>
  </si>
  <si>
    <t>1975</t>
  </si>
  <si>
    <t>60x60m</t>
  </si>
  <si>
    <t>wood - hemlock</t>
  </si>
  <si>
    <t>steel axis and sloted hol</t>
  </si>
  <si>
    <t>0.5m</t>
  </si>
  <si>
    <t>50x50mm</t>
  </si>
  <si>
    <t>Chiddingstone</t>
  </si>
  <si>
    <t>12x5m</t>
  </si>
  <si>
    <t>Wood - Sweet Chestnut</t>
  </si>
  <si>
    <t>Twin steel cables (4mm)</t>
  </si>
  <si>
    <t>40x30mm</t>
  </si>
  <si>
    <t>6x6m</t>
  </si>
  <si>
    <t>wood - oak</t>
  </si>
  <si>
    <t>Twin steel cables (2m)</t>
  </si>
  <si>
    <t>0.4m</t>
  </si>
  <si>
    <t>32x15</t>
  </si>
  <si>
    <t>32x15mm</t>
  </si>
  <si>
    <t>Doncaster</t>
  </si>
  <si>
    <t>Grant Associates</t>
  </si>
  <si>
    <t>cran lift</t>
  </si>
  <si>
    <t>push up from ground</t>
  </si>
  <si>
    <t>push up and down from plateform</t>
  </si>
  <si>
    <t>Westminster Lodge - Hooke Park</t>
  </si>
  <si>
    <t>thinnings</t>
  </si>
  <si>
    <t>planted turf roof</t>
  </si>
  <si>
    <t>Dorset</t>
  </si>
  <si>
    <t>Dorset, England</t>
  </si>
  <si>
    <t>Japan Pavilion</t>
  </si>
  <si>
    <t>Doncaster, England</t>
  </si>
  <si>
    <t>Pishwanton, England</t>
  </si>
  <si>
    <t>Downland, England</t>
  </si>
  <si>
    <t>Savill, England</t>
  </si>
  <si>
    <t>home of the Life Science Centre Trust</t>
  </si>
  <si>
    <t>wood - larch</t>
  </si>
  <si>
    <t>35x25mm</t>
  </si>
  <si>
    <t>0.6m</t>
  </si>
  <si>
    <t>2 alternate boarding layer</t>
  </si>
  <si>
    <t>2 alternate layers of 12mm thick birch plywood panels</t>
  </si>
  <si>
    <t>waterproofing membrane + planted turf roof</t>
  </si>
  <si>
    <t>Earth Center</t>
  </si>
  <si>
    <t>http://grant-associates.uk.com/approach/earth-centre-forest-garden-grid-shells/</t>
  </si>
  <si>
    <t>1998</t>
  </si>
  <si>
    <t>Lowenstein2002</t>
  </si>
  <si>
    <t>Ban2003</t>
  </si>
  <si>
    <t>Shigeru Ban  + Frei Otto</t>
  </si>
  <si>
    <t>Essen Pavilion</t>
  </si>
  <si>
    <t>German Pavilion</t>
  </si>
  <si>
    <t>1962</t>
  </si>
  <si>
    <t>1967</t>
  </si>
  <si>
    <t>Essen, Germany</t>
  </si>
  <si>
    <t>Montreal, Canada</t>
  </si>
  <si>
    <t>1973</t>
  </si>
  <si>
    <t>Tokyo, Japan</t>
  </si>
  <si>
    <t>Seibu</t>
  </si>
  <si>
    <t>1977</t>
  </si>
  <si>
    <t>aluminium</t>
  </si>
  <si>
    <t>Mexico City, Mexico</t>
  </si>
  <si>
    <t>Mexico</t>
  </si>
  <si>
    <t>Berkley</t>
  </si>
  <si>
    <t>German Pavilions</t>
  </si>
  <si>
    <t>Berkley, USA</t>
  </si>
  <si>
    <t>F. Otto</t>
  </si>
  <si>
    <t>Students</t>
  </si>
  <si>
    <t>15x15m</t>
  </si>
  <si>
    <t>60x40mm</t>
  </si>
  <si>
    <t>42x35mm (big)
42x28 (small)</t>
  </si>
  <si>
    <t>steel</t>
  </si>
  <si>
    <t>lift up</t>
  </si>
  <si>
    <t>20x20mm / thick = 2mm</t>
  </si>
  <si>
    <t>0.5</t>
  </si>
  <si>
    <t>plywood layer</t>
  </si>
  <si>
    <t>node locking</t>
  </si>
  <si>
    <t>Twin steel cables (6mm) &amp; node locking</t>
  </si>
  <si>
    <t>17,5m</t>
  </si>
  <si>
    <t>Leonhardt + Andrä</t>
  </si>
  <si>
    <t>Ove Arup</t>
  </si>
  <si>
    <t>Frei Otto</t>
  </si>
  <si>
    <t>120mm diam / 22mm thick</t>
  </si>
  <si>
    <t>0.48m</t>
  </si>
  <si>
    <t>Happold1975, Otto1974 p270</t>
  </si>
  <si>
    <t>Happold1975, Otto1974 p272</t>
  </si>
  <si>
    <t>Happold1975, Otto1974 p274</t>
  </si>
  <si>
    <t>IL</t>
  </si>
  <si>
    <t>F. Montero</t>
  </si>
  <si>
    <t>10x10m</t>
  </si>
  <si>
    <t>Ahmedabad, India</t>
  </si>
  <si>
    <t>1976</t>
  </si>
  <si>
    <t>Ahmedabad</t>
  </si>
  <si>
    <t>Otto1976 p249</t>
  </si>
  <si>
    <t>Zitacuaro</t>
  </si>
  <si>
    <t>9x9m</t>
  </si>
  <si>
    <t>wood</t>
  </si>
  <si>
    <t>20x22mm</t>
  </si>
  <si>
    <t>node locking + steel cable (2mm)</t>
  </si>
  <si>
    <t>Otto1976 p260</t>
  </si>
  <si>
    <t>Zitacuaro, Mexico</t>
  </si>
  <si>
    <t>0.4</t>
  </si>
  <si>
    <t>clear foil</t>
  </si>
  <si>
    <t>Otto1976 p262</t>
  </si>
  <si>
    <t>10x7m</t>
  </si>
  <si>
    <t>double rod diam 8mm space 10mm</t>
  </si>
  <si>
    <t>Green House</t>
  </si>
  <si>
    <t>Aluminum Gridshell</t>
  </si>
  <si>
    <t>project</t>
  </si>
  <si>
    <t>workshop</t>
  </si>
  <si>
    <t>Concrete Gridsgell</t>
  </si>
  <si>
    <t>concrete 20mm</t>
  </si>
  <si>
    <t>rods diam 5mm</t>
  </si>
  <si>
    <t>0.25</t>
  </si>
  <si>
    <t>4x4m</t>
  </si>
  <si>
    <t>Small Pavilion</t>
  </si>
  <si>
    <t>J. Hennicke</t>
  </si>
  <si>
    <t>wood - pine</t>
  </si>
  <si>
    <t>16x24mm</t>
  </si>
  <si>
    <t>6x6 &amp; 5x5</t>
  </si>
  <si>
    <t>Test structure of a Grdisheel</t>
  </si>
  <si>
    <t>7x6m</t>
  </si>
  <si>
    <t>wood - hemelock pine</t>
  </si>
  <si>
    <t>15x15mm</t>
  </si>
  <si>
    <t>Bamboo gridshell</t>
  </si>
  <si>
    <t>J. Park</t>
  </si>
  <si>
    <t>B. Oleiko</t>
  </si>
  <si>
    <t>7x9m</t>
  </si>
  <si>
    <t>bamboo</t>
  </si>
  <si>
    <t>0.7</t>
  </si>
  <si>
    <t>25.5mm diam</t>
  </si>
  <si>
    <t>London, Uk</t>
  </si>
  <si>
    <t>no</t>
  </si>
  <si>
    <t>G. Sarabhai</t>
  </si>
  <si>
    <t>G. Ramaswamy</t>
  </si>
  <si>
    <t>pipes 19mmx1.2mm</t>
  </si>
  <si>
    <t>surface</t>
  </si>
  <si>
    <t>100m2</t>
  </si>
  <si>
    <t xml:space="preserve">6mm diagonal steel rods welded to the grid
</t>
  </si>
  <si>
    <t>4 layers of chikkenwires filed with cement mortar</t>
  </si>
  <si>
    <t>10x8m</t>
  </si>
  <si>
    <t>80m2</t>
  </si>
  <si>
    <t>N</t>
  </si>
  <si>
    <t>Year</t>
  </si>
  <si>
    <t>Nickname</t>
  </si>
  <si>
    <t>City</t>
  </si>
  <si>
    <t>Country</t>
  </si>
  <si>
    <t>Engineer</t>
  </si>
  <si>
    <t>Span</t>
  </si>
  <si>
    <t>Area</t>
  </si>
  <si>
    <t>Surface(m2)</t>
  </si>
  <si>
    <t>Type</t>
  </si>
  <si>
    <t>Workshop</t>
  </si>
  <si>
    <t>Berkeley</t>
  </si>
  <si>
    <t>USA</t>
  </si>
  <si>
    <t>\cite{IL10}</t>
  </si>
  <si>
    <t>Essen</t>
  </si>
  <si>
    <t>Pavilion</t>
  </si>
  <si>
    <t>Germany</t>
  </si>
  <si>
    <t>Height</t>
  </si>
  <si>
    <t>Contractor</t>
  </si>
  <si>
    <t>Erection</t>
  </si>
  <si>
    <t>Section</t>
  </si>
  <si>
    <t>60x40</t>
  </si>
  <si>
    <t>Node</t>
  </si>
  <si>
    <t>bolt</t>
  </si>
  <si>
    <t>transparent plastic foil</t>
  </si>
  <si>
    <t>0.82</t>
  </si>
  <si>
    <t>0.48</t>
  </si>
  <si>
    <t>Montreal</t>
  </si>
  <si>
    <t>Canada</t>
  </si>
  <si>
    <t>Lehonardt</t>
  </si>
  <si>
    <t>365</t>
  </si>
  <si>
    <t>17.5</t>
  </si>
  <si>
    <t>4.00</t>
  </si>
  <si>
    <t>42x35
42x28</t>
  </si>
  <si>
    <t>0.50</t>
  </si>
  <si>
    <t>PVC coated fabric</t>
  </si>
  <si>
    <t>Grid rods (lm)</t>
  </si>
  <si>
    <t>Mesh Width</t>
  </si>
  <si>
    <t>Knots</t>
  </si>
  <si>
    <t>1193</t>
  </si>
  <si>
    <t>1137</t>
  </si>
  <si>
    <t>1620</t>
  </si>
  <si>
    <t>1579</t>
  </si>
  <si>
    <t>plywood</t>
  </si>
  <si>
    <t>insulation  boards + PVC coated fabric</t>
  </si>
  <si>
    <t>Experiment</t>
  </si>
  <si>
    <t>Stuttgart</t>
  </si>
  <si>
    <t>bolt (M4)</t>
  </si>
  <si>
    <t>7.5</t>
  </si>
  <si>
    <t>15x15</t>
  </si>
  <si>
    <t>169</t>
  </si>
  <si>
    <t>210</t>
  </si>
  <si>
    <t>1017</t>
  </si>
  <si>
    <t>\O 25.4</t>
  </si>
  <si>
    <t>steel wire</t>
  </si>
  <si>
    <t>225</t>
  </si>
  <si>
    <t>975</t>
  </si>
  <si>
    <t>bamboo mats +  impregnated fabric</t>
  </si>
  <si>
    <t>lifted-up with cranes</t>
  </si>
  <si>
    <t>lifted-up with cable hoists</t>
  </si>
  <si>
    <t>pushed-up</t>
  </si>
  <si>
    <t>eased-down</t>
  </si>
  <si>
    <t>Amehabad</t>
  </si>
  <si>
    <t>India</t>
  </si>
  <si>
    <t>Building</t>
  </si>
  <si>
    <t>London</t>
  </si>
  <si>
    <t>England</t>
  </si>
  <si>
    <t>Arup + IL</t>
  </si>
  <si>
    <t>yellow pine</t>
  </si>
  <si>
    <t>hemelock pine</t>
  </si>
  <si>
    <t>14x19</t>
  </si>
  <si>
    <t>0.45</t>
  </si>
  <si>
    <t>406</t>
  </si>
  <si>
    <t>425</t>
  </si>
  <si>
    <t>82</t>
  </si>
  <si>
    <t>7400</t>
  </si>
  <si>
    <t>20.0</t>
  </si>
  <si>
    <t>60.0</t>
  </si>
  <si>
    <t>2.7</t>
  </si>
  <si>
    <t>4.9</t>
  </si>
  <si>
    <t>3.2</t>
  </si>
  <si>
    <t>7.8</t>
  </si>
  <si>
    <t>16.8</t>
  </si>
  <si>
    <t>6.7</t>
  </si>
  <si>
    <t>15.0</t>
  </si>
  <si>
    <t>6.0</t>
  </si>
  <si>
    <t>34000</t>
  </si>
  <si>
    <t>72000</t>
  </si>
  <si>
    <t>bolt (M8)</t>
  </si>
  <si>
    <t>50x50</t>
  </si>
  <si>
    <t>Traslucent PVC coated fabric</t>
  </si>
  <si>
    <t>node locking + twin steel cables \O \SI{6}{mm}</t>
  </si>
  <si>
    <t>C. Mutshler</t>
  </si>
  <si>
    <t>Tokyo</t>
  </si>
  <si>
    <t>Japan</t>
  </si>
  <si>
    <t>100</t>
  </si>
  <si>
    <t>20x20x2</t>
  </si>
  <si>
    <t>441</t>
  </si>
  <si>
    <t>420</t>
  </si>
  <si>
    <t>8.5</t>
  </si>
  <si>
    <t>2.3</t>
  </si>
  <si>
    <t>72</t>
  </si>
  <si>
    <t>80</t>
  </si>
  <si>
    <t>8.0</t>
  </si>
  <si>
    <t>\O 19x1.2</t>
  </si>
  <si>
    <t>6mm diagonal steel rods welded to the grid</t>
  </si>
  <si>
    <t>G. Ramaswamy + IL</t>
  </si>
  <si>
    <t>AA Bamboo Latice Shell</t>
  </si>
  <si>
    <t>7.0</t>
  </si>
  <si>
    <t>63</t>
  </si>
  <si>
    <t>rope</t>
  </si>
  <si>
    <t>J. Park + B. Oleiko</t>
  </si>
  <si>
    <t>Test structure of a gridshell</t>
  </si>
  <si>
    <t>Mexico City</t>
  </si>
  <si>
    <t>62</t>
  </si>
  <si>
    <t>3.8</t>
  </si>
  <si>
    <t>16x24</t>
  </si>
  <si>
    <t>20x22</t>
  </si>
  <si>
    <t>81</t>
  </si>
  <si>
    <t>3.0</t>
  </si>
  <si>
    <t>9.0</t>
  </si>
  <si>
    <t>\O 2mm diagonal wire</t>
  </si>
  <si>
    <t>58</t>
  </si>
  <si>
    <t>7.3</t>
  </si>
  <si>
    <t>3.7</t>
  </si>
  <si>
    <t>double \O 21.7</t>
  </si>
  <si>
    <t>double \O 8.0</t>
  </si>
  <si>
    <t>textile</t>
  </si>
  <si>
    <t>17</t>
  </si>
  <si>
    <t>4.0</t>
  </si>
  <si>
    <t>mesh wire fabric + 2cm concrete</t>
  </si>
  <si>
    <t>double \O 5.0</t>
  </si>
  <si>
    <t>Small Greenhouse</t>
  </si>
  <si>
    <t>pine</t>
  </si>
  <si>
    <t>38</t>
  </si>
  <si>
    <t>Ferrocement gridshell</t>
  </si>
  <si>
    <t>Mannheim Multihalle</t>
  </si>
  <si>
    <t>Exhibition pavilion</t>
  </si>
  <si>
    <t>Basket shell</t>
  </si>
  <si>
    <t>1995</t>
  </si>
  <si>
    <t>Westminster Lodge</t>
  </si>
  <si>
    <t>E. Cullinan</t>
  </si>
  <si>
    <t>wood -  spruce roundwood thinnings</t>
  </si>
  <si>
    <t>\cite{Burton2010}</t>
  </si>
  <si>
    <t>tuf roof</t>
  </si>
  <si>
    <t>roundwood thinnings</t>
  </si>
  <si>
    <t>\O 100.0</t>
  </si>
  <si>
    <t>Grant</t>
  </si>
  <si>
    <t>F. Otto + Happold</t>
  </si>
  <si>
    <t>Happold</t>
  </si>
  <si>
    <t>oak</t>
  </si>
  <si>
    <t>36</t>
  </si>
  <si>
    <t>plateform</t>
  </si>
  <si>
    <t>lifted-up</t>
  </si>
  <si>
    <t>Hannover</t>
  </si>
  <si>
    <t>S. Ban + F. Otto</t>
  </si>
  <si>
    <t>cardboard</t>
  </si>
  <si>
    <t>glulam lader arches + steel cables</t>
  </si>
  <si>
    <t>1.0</t>
  </si>
  <si>
    <t>\O 120x22</t>
  </si>
  <si>
    <t>2500</t>
  </si>
  <si>
    <t>\cite{Ban2006}</t>
  </si>
  <si>
    <t xml:space="preserve">Experimental structure </t>
  </si>
  <si>
    <t>Experimental structure</t>
  </si>
  <si>
    <t>Citation</t>
  </si>
  <si>
    <t>Page</t>
  </si>
  <si>
    <t>p.~270</t>
  </si>
  <si>
    <t>p.~272</t>
  </si>
  <si>
    <t>p.~274</t>
  </si>
  <si>
    <t>p.~245</t>
  </si>
  <si>
    <t>p.~304</t>
  </si>
  <si>
    <t>p.~306</t>
  </si>
  <si>
    <t>p.~308</t>
  </si>
  <si>
    <t>p.~248</t>
  </si>
  <si>
    <t>p.~255</t>
  </si>
  <si>
    <t>p.~298</t>
  </si>
  <si>
    <t>p.~258</t>
  </si>
  <si>
    <t>p.~260</t>
  </si>
  <si>
    <t>p.~90</t>
  </si>
  <si>
    <t>\cite{IL13}</t>
  </si>
  <si>
    <t>50x35</t>
  </si>
  <si>
    <t>steel plates</t>
  </si>
  <si>
    <t>35.0</t>
  </si>
  <si>
    <t>1.0 - 0.5</t>
  </si>
  <si>
    <t>Polycarbonate / Boards</t>
  </si>
  <si>
    <t>\cite{Harris2003}</t>
  </si>
  <si>
    <t>Life Science Centre Trust</t>
  </si>
  <si>
    <t>larch</t>
  </si>
  <si>
    <t>boards</t>
  </si>
  <si>
    <t>turf roof</t>
  </si>
  <si>
    <t>35x25</t>
  </si>
  <si>
    <t>0.6</t>
  </si>
  <si>
    <t>2 alternate board layers</t>
  </si>
  <si>
    <t>G. Howells</t>
  </si>
  <si>
    <t>Happold + C. William</t>
  </si>
  <si>
    <t>2 alternate layers of plywood</t>
  </si>
  <si>
    <t>80x50</t>
  </si>
  <si>
    <t>160mm of insulation + oak boards</t>
  </si>
  <si>
    <t>24</t>
  </si>
  <si>
    <t>\cite{Harris2008}</t>
  </si>
  <si>
    <t>5</t>
  </si>
  <si>
    <t>50</t>
  </si>
  <si>
    <t>40x30</t>
  </si>
  <si>
    <t>sweet chestnut</t>
  </si>
  <si>
    <t>twin cables</t>
  </si>
  <si>
    <t>P. Hulbert</t>
  </si>
  <si>
    <t>Roofing</t>
  </si>
  <si>
    <t>12mm glass panels</t>
  </si>
  <si>
    <t>Kent</t>
  </si>
  <si>
    <t>Chiddingstone Orangery</t>
  </si>
  <si>
    <t>Noisy-Champs</t>
  </si>
  <si>
    <t>France</t>
  </si>
  <si>
    <t>GFRP</t>
  </si>
  <si>
    <t>swivel coupler</t>
  </si>
  <si>
    <t>\O 41.7x3.5</t>
  </si>
  <si>
    <t>Navier + T/E/S/S</t>
  </si>
  <si>
    <t>Paris</t>
  </si>
  <si>
    <t>350</t>
  </si>
  <si>
    <t>10</t>
  </si>
  <si>
    <t>Créteil</t>
  </si>
  <si>
    <t>T/E/S/S</t>
  </si>
  <si>
    <t>T/E/S/S + Navier</t>
  </si>
  <si>
    <t>\cite{DuPeloux2016}</t>
  </si>
  <si>
    <t>\cite{Baverel2012}</t>
  </si>
  <si>
    <t>670</t>
  </si>
  <si>
    <t>13.0</t>
  </si>
  <si>
    <t>170</t>
  </si>
  <si>
    <t>230</t>
  </si>
  <si>
    <t>\cite{Douthe2006}</t>
  </si>
  <si>
    <t>JPO</t>
  </si>
  <si>
    <t>Quaternion</t>
  </si>
  <si>
    <t>Navier + Terrell</t>
  </si>
  <si>
    <t>strings</t>
  </si>
  <si>
    <t>48x12</t>
  </si>
  <si>
    <t>FAV</t>
  </si>
  <si>
    <t>CLC</t>
  </si>
  <si>
    <t>pehd panels</t>
  </si>
  <si>
    <t>Toledo</t>
  </si>
  <si>
    <t>Italy</t>
  </si>
  <si>
    <t>Naples</t>
  </si>
  <si>
    <t>Toledo 2.0</t>
  </si>
  <si>
    <t>B. D'Amico</t>
  </si>
  <si>
    <t>gridshell.it</t>
  </si>
  <si>
    <t>\cite{DAmico2014}</t>
  </si>
  <si>
    <t>\cite{DAmico2015a}</t>
  </si>
  <si>
    <t>75</t>
  </si>
  <si>
    <t>2130</t>
  </si>
  <si>
    <t>626</t>
  </si>
  <si>
    <t>10.0</t>
  </si>
  <si>
    <t>50x20</t>
  </si>
  <si>
    <t>bolt (M6)</t>
  </si>
  <si>
    <t>6.5</t>
  </si>
  <si>
    <t>Trondheim</t>
  </si>
  <si>
    <t>Norway</t>
  </si>
  <si>
    <t>\cite{Mork2016}</t>
  </si>
  <si>
    <t>48x23</t>
  </si>
  <si>
    <t>spruce</t>
  </si>
  <si>
    <t>NTNU</t>
  </si>
  <si>
    <t>ZA</t>
  </si>
  <si>
    <t>Cluj</t>
  </si>
  <si>
    <t>Romania</t>
  </si>
  <si>
    <t>234</t>
  </si>
  <si>
    <t>70x20</t>
  </si>
  <si>
    <t>UTCA</t>
  </si>
  <si>
    <t>San Antonio</t>
  </si>
  <si>
    <t>URL</t>
  </si>
  <si>
    <t>https://designontopic.wordpress.com/</t>
  </si>
  <si>
    <t>folding skin</t>
  </si>
  <si>
    <t>F2</t>
  </si>
  <si>
    <t>4.6</t>
  </si>
  <si>
    <t>12.0</t>
  </si>
  <si>
    <t>144</t>
  </si>
  <si>
    <t>Booby</t>
  </si>
  <si>
    <t>bolt M3</t>
  </si>
  <si>
    <t>concrete skin</t>
  </si>
  <si>
    <t>concrete skin 20mm</t>
  </si>
  <si>
    <t>3.4</t>
  </si>
  <si>
    <t>\O 10mm</t>
  </si>
  <si>
    <t>\cite{Cuvilliers2017}</t>
  </si>
  <si>
    <t>"</t>
  </si>
  <si>
    <t>16.0</t>
  </si>
  <si>
    <t>9.5</t>
  </si>
  <si>
    <t>280</t>
  </si>
  <si>
    <t>710</t>
  </si>
  <si>
    <t>Woodland Center</t>
  </si>
  <si>
    <t>Filmwell</t>
  </si>
  <si>
    <t>chestnut</t>
  </si>
  <si>
    <t>75x25</t>
  </si>
  <si>
    <t>osb panels</t>
  </si>
  <si>
    <t>300</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</si>
</sst>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2"/>
      <color theme="1"/>
      <name val="Calibri"/>
      <family val="2"/>
      <scheme val="minor"/>
    </font>
    <font>
      <sz val="12"/>
      <color rgb="FFFF0000"/>
      <name val="Calibri"/>
      <family val="2"/>
      <scheme val="minor"/>
    </font>
    <font>
      <b/>
      <sz val="12"/>
      <color theme="1"/>
      <name val="Calibri"/>
      <family val="2"/>
      <scheme val="minor"/>
    </font>
    <font>
      <u/>
      <sz val="12"/>
      <color theme="10"/>
      <name val="Calibri"/>
      <family val="2"/>
      <scheme val="minor"/>
    </font>
    <font>
      <sz val="12"/>
      <color rgb="FF000000"/>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theme="5" tint="0.39997558519241921"/>
        <bgColor indexed="64"/>
      </patternFill>
    </fill>
    <fill>
      <patternFill patternType="solid">
        <fgColor theme="2"/>
        <bgColor indexed="64"/>
      </patternFill>
    </fill>
    <fill>
      <patternFill patternType="solid">
        <fgColor rgb="FFE7E6E6"/>
        <bgColor rgb="FF000000"/>
      </patternFill>
    </fill>
    <fill>
      <patternFill patternType="solid">
        <fgColor theme="9" tint="0.39997558519241921"/>
        <bgColor indexed="64"/>
      </patternFill>
    </fill>
    <fill>
      <patternFill patternType="solid">
        <fgColor theme="7" tint="0.39997558519241921"/>
        <bgColor indexed="64"/>
      </patternFill>
    </fill>
  </fills>
  <borders count="12">
    <border>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applyNumberFormat="0" applyFill="0" applyBorder="0" applyAlignment="0" applyProtection="0"/>
  </cellStyleXfs>
  <cellXfs count="84">
    <xf numFmtId="0" fontId="0" fillId="0" borderId="0" xfId="0"/>
    <xf numFmtId="0" fontId="0" fillId="0" borderId="0" xfId="0" applyAlignment="1">
      <alignment horizontal="left"/>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wrapText="1"/>
    </xf>
    <xf numFmtId="49" fontId="0" fillId="0" borderId="0" xfId="0" applyNumberFormat="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49" fontId="3" fillId="0" borderId="0" xfId="1" applyNumberFormat="1" applyAlignment="1">
      <alignment horizontal="center" vertical="center" wrapText="1"/>
    </xf>
    <xf numFmtId="0" fontId="0" fillId="0" borderId="0" xfId="0" applyAlignment="1">
      <alignment horizontal="center" wrapText="1"/>
    </xf>
    <xf numFmtId="0" fontId="2" fillId="0" borderId="1" xfId="0"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vertical="center"/>
    </xf>
    <xf numFmtId="0" fontId="2" fillId="0" borderId="0" xfId="0" applyFont="1" applyAlignment="1">
      <alignment horizontal="left" vertical="center"/>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0" fillId="0" borderId="2" xfId="0" applyFont="1" applyBorder="1" applyAlignment="1">
      <alignment horizontal="center" vertical="center" wrapText="1"/>
    </xf>
    <xf numFmtId="0" fontId="0" fillId="0" borderId="7" xfId="0" applyFont="1" applyBorder="1" applyAlignment="1">
      <alignment horizontal="center" vertical="center" wrapText="1"/>
    </xf>
    <xf numFmtId="0" fontId="0" fillId="0" borderId="0" xfId="0" applyFont="1" applyBorder="1" applyAlignment="1">
      <alignment horizontal="center" vertical="center" wrapText="1"/>
    </xf>
    <xf numFmtId="0" fontId="0" fillId="0" borderId="8"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11" xfId="0" applyFont="1" applyBorder="1" applyAlignment="1">
      <alignment horizontal="center" vertical="center" wrapText="1"/>
    </xf>
    <xf numFmtId="0" fontId="0" fillId="0" borderId="3" xfId="0" applyFont="1" applyBorder="1" applyAlignment="1">
      <alignment horizontal="center" vertical="center" wrapText="1"/>
    </xf>
    <xf numFmtId="49" fontId="2" fillId="0" borderId="5" xfId="0" applyNumberFormat="1" applyFont="1" applyBorder="1" applyAlignment="1">
      <alignment horizontal="center" vertical="center" wrapText="1"/>
    </xf>
    <xf numFmtId="49" fontId="0" fillId="0" borderId="0" xfId="0" applyNumberFormat="1" applyFont="1" applyBorder="1" applyAlignment="1">
      <alignment horizontal="center" vertical="center" wrapText="1"/>
    </xf>
    <xf numFmtId="49" fontId="0" fillId="0" borderId="10" xfId="0" applyNumberFormat="1" applyFont="1" applyBorder="1" applyAlignment="1">
      <alignment horizontal="center" vertical="center" wrapText="1"/>
    </xf>
    <xf numFmtId="49" fontId="2" fillId="0" borderId="6" xfId="0" applyNumberFormat="1" applyFont="1" applyBorder="1" applyAlignment="1">
      <alignment horizontal="center" vertical="center" wrapText="1"/>
    </xf>
    <xf numFmtId="49" fontId="0" fillId="0" borderId="8" xfId="0" applyNumberFormat="1" applyFont="1" applyBorder="1" applyAlignment="1">
      <alignment horizontal="center" vertical="center" wrapText="1"/>
    </xf>
    <xf numFmtId="49" fontId="0" fillId="0" borderId="11" xfId="0" applyNumberFormat="1" applyFont="1" applyBorder="1" applyAlignment="1">
      <alignment horizontal="center" vertical="center" wrapText="1"/>
    </xf>
    <xf numFmtId="49" fontId="1" fillId="0" borderId="0" xfId="0" applyNumberFormat="1" applyFont="1" applyBorder="1" applyAlignment="1">
      <alignment horizontal="center" vertical="center" wrapText="1"/>
    </xf>
    <xf numFmtId="0" fontId="2" fillId="2" borderId="2" xfId="0" applyFont="1" applyFill="1" applyBorder="1" applyAlignment="1">
      <alignment horizontal="center" vertical="center" wrapText="1"/>
    </xf>
    <xf numFmtId="0" fontId="0" fillId="2" borderId="7"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0" fillId="2" borderId="8" xfId="0" applyFont="1" applyFill="1" applyBorder="1" applyAlignment="1">
      <alignment horizontal="center" vertical="center" wrapText="1"/>
    </xf>
    <xf numFmtId="49" fontId="0" fillId="2" borderId="0" xfId="0" applyNumberFormat="1" applyFont="1" applyFill="1" applyBorder="1" applyAlignment="1">
      <alignment horizontal="center" vertical="center" wrapText="1"/>
    </xf>
    <xf numFmtId="49" fontId="0" fillId="2" borderId="8" xfId="0" applyNumberFormat="1" applyFont="1" applyFill="1" applyBorder="1" applyAlignment="1">
      <alignment horizontal="center" vertical="center" wrapText="1"/>
    </xf>
    <xf numFmtId="0" fontId="0" fillId="2" borderId="2" xfId="0" applyFont="1" applyFill="1" applyBorder="1" applyAlignment="1">
      <alignment horizontal="center" vertical="center" wrapText="1"/>
    </xf>
    <xf numFmtId="49" fontId="1" fillId="2" borderId="0" xfId="0" applyNumberFormat="1" applyFont="1" applyFill="1" applyBorder="1" applyAlignment="1">
      <alignment horizontal="center" vertical="center" wrapText="1"/>
    </xf>
    <xf numFmtId="49" fontId="1" fillId="2" borderId="8"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8" xfId="0" applyFont="1" applyFill="1" applyBorder="1" applyAlignment="1">
      <alignment horizontal="center" vertical="center" wrapText="1"/>
    </xf>
    <xf numFmtId="49" fontId="0" fillId="3" borderId="0" xfId="0" applyNumberFormat="1" applyFont="1" applyFill="1" applyBorder="1" applyAlignment="1">
      <alignment horizontal="center" vertical="center" wrapText="1"/>
    </xf>
    <xf numFmtId="49" fontId="0" fillId="3" borderId="8" xfId="0" applyNumberFormat="1" applyFont="1" applyFill="1" applyBorder="1" applyAlignment="1">
      <alignment horizontal="center" vertical="center" wrapText="1"/>
    </xf>
    <xf numFmtId="0" fontId="0" fillId="3" borderId="2" xfId="0" applyFont="1" applyFill="1" applyBorder="1" applyAlignment="1">
      <alignment horizontal="center" vertical="center" wrapText="1"/>
    </xf>
    <xf numFmtId="0" fontId="2" fillId="3" borderId="0" xfId="0" applyFont="1" applyFill="1" applyAlignment="1">
      <alignment vertical="center"/>
    </xf>
    <xf numFmtId="0" fontId="2" fillId="3" borderId="0" xfId="0" applyFont="1" applyFill="1" applyAlignment="1">
      <alignment horizontal="left" vertical="center"/>
    </xf>
    <xf numFmtId="49" fontId="1" fillId="3" borderId="8" xfId="0" applyNumberFormat="1" applyFont="1" applyFill="1" applyBorder="1" applyAlignment="1">
      <alignment horizontal="center" vertical="center" wrapText="1"/>
    </xf>
    <xf numFmtId="49" fontId="1" fillId="3" borderId="0" xfId="0"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0" xfId="0" applyFont="1" applyFill="1" applyBorder="1" applyAlignment="1">
      <alignment horizontal="center" vertical="center" wrapText="1"/>
    </xf>
    <xf numFmtId="0" fontId="0" fillId="4" borderId="8" xfId="0" applyFont="1" applyFill="1" applyBorder="1" applyAlignment="1">
      <alignment horizontal="center" vertical="center" wrapText="1"/>
    </xf>
    <xf numFmtId="49" fontId="0" fillId="4" borderId="0" xfId="0" applyNumberFormat="1" applyFont="1" applyFill="1" applyBorder="1" applyAlignment="1">
      <alignment horizontal="center" vertical="center" wrapText="1"/>
    </xf>
    <xf numFmtId="49" fontId="1" fillId="4" borderId="0" xfId="0" applyNumberFormat="1" applyFont="1" applyFill="1" applyBorder="1" applyAlignment="1">
      <alignment horizontal="center" vertical="center" wrapText="1"/>
    </xf>
    <xf numFmtId="49" fontId="0" fillId="4" borderId="8" xfId="0" applyNumberFormat="1" applyFont="1" applyFill="1" applyBorder="1" applyAlignment="1">
      <alignment horizontal="center" vertical="center" wrapText="1"/>
    </xf>
    <xf numFmtId="49" fontId="1" fillId="4" borderId="8"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2" fillId="4" borderId="0" xfId="0" applyFont="1" applyFill="1" applyAlignment="1">
      <alignment vertical="center"/>
    </xf>
    <xf numFmtId="0" fontId="2" fillId="4" borderId="0" xfId="0" applyFont="1" applyFill="1" applyAlignment="1">
      <alignment horizontal="left" vertical="center"/>
    </xf>
    <xf numFmtId="0" fontId="4" fillId="5" borderId="0" xfId="0" applyFont="1" applyFill="1" applyAlignment="1">
      <alignment horizontal="center" vertical="center" wrapText="1"/>
    </xf>
    <xf numFmtId="49" fontId="0" fillId="0" borderId="0" xfId="0" applyNumberFormat="1" applyFont="1" applyAlignment="1">
      <alignment horizontal="center" wrapText="1"/>
    </xf>
    <xf numFmtId="0" fontId="2" fillId="6" borderId="2" xfId="0" applyFont="1" applyFill="1" applyBorder="1" applyAlignment="1">
      <alignment horizontal="center" vertical="center" wrapText="1"/>
    </xf>
    <xf numFmtId="0" fontId="0" fillId="6" borderId="7" xfId="0" applyFont="1" applyFill="1" applyBorder="1" applyAlignment="1">
      <alignment horizontal="center" vertical="center" wrapText="1"/>
    </xf>
    <xf numFmtId="0" fontId="0" fillId="6" borderId="0" xfId="0" applyFont="1" applyFill="1" applyBorder="1" applyAlignment="1">
      <alignment horizontal="center" vertical="center" wrapText="1"/>
    </xf>
    <xf numFmtId="0" fontId="0" fillId="6" borderId="8" xfId="0" applyFont="1" applyFill="1" applyBorder="1" applyAlignment="1">
      <alignment horizontal="center" vertical="center" wrapText="1"/>
    </xf>
    <xf numFmtId="49" fontId="0" fillId="6" borderId="0" xfId="0" applyNumberFormat="1" applyFont="1" applyFill="1" applyBorder="1" applyAlignment="1">
      <alignment horizontal="center" vertical="center" wrapText="1"/>
    </xf>
    <xf numFmtId="49" fontId="0" fillId="6" borderId="8" xfId="0" applyNumberFormat="1" applyFont="1" applyFill="1" applyBorder="1" applyAlignment="1">
      <alignment horizontal="center" vertical="center" wrapText="1"/>
    </xf>
    <xf numFmtId="0" fontId="0" fillId="6" borderId="2" xfId="0" applyFont="1" applyFill="1" applyBorder="1" applyAlignment="1">
      <alignment horizontal="center" vertical="center" wrapText="1"/>
    </xf>
    <xf numFmtId="0" fontId="2" fillId="6" borderId="0" xfId="0" applyFont="1" applyFill="1" applyAlignment="1">
      <alignment vertical="center"/>
    </xf>
    <xf numFmtId="0" fontId="2" fillId="6" borderId="0" xfId="0" applyFont="1" applyFill="1" applyAlignment="1">
      <alignment horizontal="left" vertical="center"/>
    </xf>
    <xf numFmtId="0" fontId="2" fillId="7" borderId="2" xfId="0" applyFont="1" applyFill="1" applyBorder="1" applyAlignment="1">
      <alignment horizontal="center" vertical="center" wrapText="1"/>
    </xf>
    <xf numFmtId="0" fontId="0" fillId="7" borderId="7"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7" borderId="8" xfId="0" applyFont="1" applyFill="1" applyBorder="1" applyAlignment="1">
      <alignment horizontal="center" vertical="center" wrapText="1"/>
    </xf>
    <xf numFmtId="49" fontId="0" fillId="7" borderId="0" xfId="0" applyNumberFormat="1" applyFont="1" applyFill="1" applyBorder="1" applyAlignment="1">
      <alignment horizontal="center" vertical="center" wrapText="1"/>
    </xf>
    <xf numFmtId="49" fontId="0" fillId="7" borderId="8" xfId="0" applyNumberFormat="1" applyFont="1" applyFill="1" applyBorder="1" applyAlignment="1">
      <alignment horizontal="center" vertical="center" wrapText="1"/>
    </xf>
    <xf numFmtId="0" fontId="0" fillId="7" borderId="2" xfId="0" applyFont="1" applyFill="1" applyBorder="1" applyAlignment="1">
      <alignment horizontal="center" vertical="center" wrapText="1"/>
    </xf>
    <xf numFmtId="0" fontId="2" fillId="7" borderId="0" xfId="0" applyFont="1" applyFill="1" applyAlignment="1">
      <alignment vertical="center"/>
    </xf>
    <xf numFmtId="0" fontId="2" fillId="7" borderId="0" xfId="0" applyFont="1" applyFill="1" applyAlignment="1">
      <alignment horizontal="left" vertical="center"/>
    </xf>
  </cellXfs>
  <cellStyles count="2">
    <cellStyle name="Lien hypertexte" xfId="1"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Thème Office">
  <a:themeElements>
    <a:clrScheme name="Bureau">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Bureau">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hyperlink" Target="http://inspiration.detail.de/japanese-pavilion-at-the-expo-in-hanover-106867.html?lang=en" TargetMode="External"/><Relationship Id="rId4" Type="http://schemas.openxmlformats.org/officeDocument/2006/relationships/hyperlink" Target="http://grant-associates.uk.com/approach/earth-centre-forest-garden-grid-shells/" TargetMode="External"/><Relationship Id="rId5" Type="http://schemas.openxmlformats.org/officeDocument/2006/relationships/hyperlink" Target="http://cullinanstudio.com/project/hooke-park" TargetMode="External"/><Relationship Id="rId1" Type="http://schemas.openxmlformats.org/officeDocument/2006/relationships/hyperlink" Target="https://glennhowells.co.uk/project/savill-building/" TargetMode="External"/><Relationship Id="rId2" Type="http://schemas.openxmlformats.org/officeDocument/2006/relationships/hyperlink" Target="http://cullinanstudio.com/project/downland-gridshel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enableFormatConditionsCalculation="0"/>
  <dimension ref="A1:AA48"/>
  <sheetViews>
    <sheetView tabSelected="1" topLeftCell="A10" zoomScale="65" workbookViewId="0">
      <pane xSplit="1" topLeftCell="B1" activePane="topRight" state="frozen"/>
      <selection pane="topRight" activeCell="Q21" sqref="Q21"/>
    </sheetView>
  </sheetViews>
  <sheetFormatPr baseColWidth="10" defaultRowHeight="16" x14ac:dyDescent="0.2"/>
  <cols>
    <col min="1" max="2" width="10.83203125" style="9"/>
    <col min="3" max="4" width="14.6640625" style="9" customWidth="1"/>
    <col min="5" max="5" width="13.5" style="9" customWidth="1"/>
    <col min="6" max="6" width="10.83203125" style="9"/>
    <col min="7" max="7" width="21.5" style="9" customWidth="1"/>
    <col min="8" max="9" width="17.1640625" style="9" customWidth="1"/>
    <col min="10" max="13" width="10.83203125" style="9"/>
    <col min="14" max="14" width="21.6640625" style="9" customWidth="1"/>
    <col min="15" max="15" width="10.83203125" style="9"/>
    <col min="16" max="18" width="10.83203125" style="4"/>
    <col min="19" max="22" width="16" style="4" customWidth="1"/>
    <col min="23" max="23" width="16" style="65" customWidth="1"/>
    <col min="24" max="25" width="21.1640625" style="9" customWidth="1"/>
    <col min="26" max="26" width="99.6640625" customWidth="1"/>
    <col min="27" max="27" width="95.33203125" style="1" customWidth="1"/>
  </cols>
  <sheetData>
    <row r="1" spans="1:27" s="14" customFormat="1" ht="57" customHeight="1" x14ac:dyDescent="0.2">
      <c r="A1" s="10" t="s">
        <v>208</v>
      </c>
      <c r="B1" s="11" t="s">
        <v>209</v>
      </c>
      <c r="C1" s="12" t="s">
        <v>210</v>
      </c>
      <c r="D1" s="12" t="s">
        <v>217</v>
      </c>
      <c r="E1" s="12" t="s">
        <v>211</v>
      </c>
      <c r="F1" s="13" t="s">
        <v>212</v>
      </c>
      <c r="G1" s="11" t="s">
        <v>31</v>
      </c>
      <c r="H1" s="12" t="s">
        <v>213</v>
      </c>
      <c r="I1" s="13" t="s">
        <v>226</v>
      </c>
      <c r="J1" s="11" t="s">
        <v>10</v>
      </c>
      <c r="K1" s="12" t="s">
        <v>11</v>
      </c>
      <c r="L1" s="12" t="s">
        <v>230</v>
      </c>
      <c r="M1" s="12" t="s">
        <v>12</v>
      </c>
      <c r="N1" s="12" t="s">
        <v>13</v>
      </c>
      <c r="O1" s="13" t="s">
        <v>227</v>
      </c>
      <c r="P1" s="26" t="s">
        <v>216</v>
      </c>
      <c r="Q1" s="26" t="s">
        <v>214</v>
      </c>
      <c r="R1" s="29" t="s">
        <v>225</v>
      </c>
      <c r="S1" s="29" t="s">
        <v>228</v>
      </c>
      <c r="T1" s="29" t="s">
        <v>245</v>
      </c>
      <c r="U1" s="29" t="s">
        <v>246</v>
      </c>
      <c r="V1" s="29" t="s">
        <v>244</v>
      </c>
      <c r="W1" s="29" t="s">
        <v>373</v>
      </c>
      <c r="X1" s="10" t="s">
        <v>372</v>
      </c>
      <c r="Y1" s="10" t="s">
        <v>473</v>
      </c>
      <c r="Z1" s="14" t="str">
        <f>CONCATENATE(A1," &amp; ",B1," &amp; ",C1," &amp; ",D1," &amp; ",E1," &amp; ",F1," &amp; ",G1," &amp; ",H1," &amp; ",W1," &amp; ",X1,"\\")</f>
        <v>N &amp; Year &amp; Nickname &amp; Type &amp; City &amp; Country &amp; Architecte &amp; Engineer &amp; Page &amp; Citation\\</v>
      </c>
      <c r="AA1" s="15" t="str">
        <f>CONCATENATEMULTIPLE(A1:X1," &amp; ")</f>
        <v>N &amp; Year &amp; Nickname &amp; Type &amp; City &amp; Country &amp; Architecte &amp; Engineer &amp; Contractor &amp; Material &amp; Layer &amp; Node &amp; Bracing &amp; Cladding &amp; Erection &amp; Surface(m2) &amp; Span &amp; Height &amp; Section &amp; Mesh Width &amp; Knots &amp; Grid rods (lm) &amp; Page &amp; Citation \\</v>
      </c>
    </row>
    <row r="2" spans="1:27" s="14" customFormat="1" ht="57" customHeight="1" x14ac:dyDescent="0.2">
      <c r="A2" s="33">
        <v>1</v>
      </c>
      <c r="B2" s="34">
        <v>1962</v>
      </c>
      <c r="C2" s="35" t="s">
        <v>370</v>
      </c>
      <c r="D2" s="35" t="s">
        <v>218</v>
      </c>
      <c r="E2" s="35" t="s">
        <v>219</v>
      </c>
      <c r="F2" s="36" t="s">
        <v>220</v>
      </c>
      <c r="G2" s="34" t="s">
        <v>133</v>
      </c>
      <c r="H2" s="35" t="s">
        <v>132</v>
      </c>
      <c r="I2" s="36"/>
      <c r="J2" s="34" t="s">
        <v>137</v>
      </c>
      <c r="K2" s="35" t="s">
        <v>57</v>
      </c>
      <c r="L2" s="35" t="s">
        <v>231</v>
      </c>
      <c r="M2" s="35"/>
      <c r="N2" s="35"/>
      <c r="O2" s="36" t="s">
        <v>268</v>
      </c>
      <c r="P2" s="37">
        <v>52</v>
      </c>
      <c r="Q2" s="37" t="s">
        <v>289</v>
      </c>
      <c r="R2" s="38" t="s">
        <v>288</v>
      </c>
      <c r="S2" s="38" t="s">
        <v>333</v>
      </c>
      <c r="T2" s="38" t="s">
        <v>233</v>
      </c>
      <c r="U2" s="38">
        <v>81</v>
      </c>
      <c r="V2" s="38">
        <v>140</v>
      </c>
      <c r="W2" s="38" t="s">
        <v>374</v>
      </c>
      <c r="X2" s="39" t="s">
        <v>221</v>
      </c>
      <c r="Y2" s="39"/>
      <c r="Z2" s="14" t="str">
        <f t="shared" ref="Z2:Z48" si="0">CONCATENATE(A2," &amp; ",B2," &amp; ",C2," &amp; ",D2," &amp; ",E2," &amp; ",F2," &amp; ",G2," &amp; ",H2," &amp; ",W2," &amp; ",X2,"\\")</f>
        <v>1 &amp; 1962 &amp; Experimental structure  &amp; Workshop &amp; Berkeley &amp; USA &amp; Students &amp; F. Otto &amp; p.~270 &amp; \cite{IL10}\\</v>
      </c>
      <c r="AA2" s="15" t="str">
        <f>CONCATENATEMULTIPLE(A2:X2," &amp; ")</f>
        <v>1 &amp; 1962 &amp; Experimental structure  &amp; Workshop &amp; Berkeley &amp; USA &amp; Students &amp; F. Otto &amp;  &amp; steel &amp; single &amp; bolt &amp;  &amp;  &amp; pushed-up &amp; 52 &amp; 7.8 &amp; 3.2 &amp; double \O 21.7 &amp; 0.82 &amp; 81 &amp; 140 &amp; p.~270 &amp; \cite{IL10} \\</v>
      </c>
    </row>
    <row r="3" spans="1:27" s="14" customFormat="1" ht="57" customHeight="1" x14ac:dyDescent="0.2">
      <c r="A3" s="33">
        <f>A2+1</f>
        <v>2</v>
      </c>
      <c r="B3" s="34">
        <v>1962</v>
      </c>
      <c r="C3" s="35" t="s">
        <v>345</v>
      </c>
      <c r="D3" s="35" t="s">
        <v>223</v>
      </c>
      <c r="E3" s="35" t="s">
        <v>222</v>
      </c>
      <c r="F3" s="36" t="s">
        <v>224</v>
      </c>
      <c r="G3" s="34" t="s">
        <v>132</v>
      </c>
      <c r="H3" s="35" t="s">
        <v>132</v>
      </c>
      <c r="I3" s="36"/>
      <c r="J3" s="34" t="s">
        <v>277</v>
      </c>
      <c r="K3" s="35" t="s">
        <v>57</v>
      </c>
      <c r="L3" s="35" t="s">
        <v>231</v>
      </c>
      <c r="M3" s="35" t="s">
        <v>142</v>
      </c>
      <c r="N3" s="35" t="s">
        <v>232</v>
      </c>
      <c r="O3" s="36" t="s">
        <v>266</v>
      </c>
      <c r="P3" s="37">
        <v>198</v>
      </c>
      <c r="Q3" s="37" t="s">
        <v>290</v>
      </c>
      <c r="R3" s="38" t="s">
        <v>287</v>
      </c>
      <c r="S3" s="38" t="s">
        <v>229</v>
      </c>
      <c r="T3" s="38" t="s">
        <v>234</v>
      </c>
      <c r="U3" s="38" t="s">
        <v>247</v>
      </c>
      <c r="V3" s="38" t="s">
        <v>248</v>
      </c>
      <c r="W3" s="38" t="s">
        <v>375</v>
      </c>
      <c r="X3" s="39" t="s">
        <v>221</v>
      </c>
      <c r="Y3" s="39"/>
      <c r="Z3" s="14" t="str">
        <f t="shared" si="0"/>
        <v>2 &amp; 1962 &amp; Exhibition pavilion &amp; Pavilion &amp; Essen &amp; Germany &amp; F. Otto &amp; F. Otto &amp; p.~272 &amp; \cite{IL10}\\</v>
      </c>
      <c r="AA3" s="15" t="str">
        <f>CONCATENATEMULTIPLE(A3:X3," &amp; ")</f>
        <v>2 &amp; 1962 &amp; Exhibition pavilion &amp; Pavilion &amp; Essen &amp; Germany &amp; F. Otto &amp; F. Otto &amp;  &amp; hemelock pine &amp; single &amp; bolt &amp; node locking &amp; transparent plastic foil &amp; lifted-up with cranes &amp; 198 &amp; 16.8 &amp; 4.9 &amp; 60x40 &amp; 0.48 &amp; 1193 &amp; 1137 &amp; p.~272 &amp; \cite{IL10} \\</v>
      </c>
    </row>
    <row r="4" spans="1:27" s="14" customFormat="1" ht="57" customHeight="1" x14ac:dyDescent="0.2">
      <c r="A4" s="33">
        <f t="shared" ref="A4:A38" si="1">A3+1</f>
        <v>3</v>
      </c>
      <c r="B4" s="34">
        <v>1967</v>
      </c>
      <c r="C4" s="35" t="s">
        <v>117</v>
      </c>
      <c r="D4" s="35" t="s">
        <v>223</v>
      </c>
      <c r="E4" s="35" t="s">
        <v>235</v>
      </c>
      <c r="F4" s="36" t="s">
        <v>236</v>
      </c>
      <c r="G4" s="34" t="s">
        <v>132</v>
      </c>
      <c r="H4" s="35" t="s">
        <v>237</v>
      </c>
      <c r="I4" s="36"/>
      <c r="J4" s="34" t="s">
        <v>277</v>
      </c>
      <c r="K4" s="35" t="s">
        <v>57</v>
      </c>
      <c r="L4" s="35" t="s">
        <v>231</v>
      </c>
      <c r="M4" s="35" t="s">
        <v>251</v>
      </c>
      <c r="N4" s="35" t="s">
        <v>252</v>
      </c>
      <c r="O4" s="36" t="s">
        <v>267</v>
      </c>
      <c r="P4" s="37" t="s">
        <v>238</v>
      </c>
      <c r="Q4" s="37" t="s">
        <v>239</v>
      </c>
      <c r="R4" s="38" t="s">
        <v>240</v>
      </c>
      <c r="S4" s="38" t="s">
        <v>241</v>
      </c>
      <c r="T4" s="38" t="s">
        <v>242</v>
      </c>
      <c r="U4" s="38" t="s">
        <v>249</v>
      </c>
      <c r="V4" s="38" t="s">
        <v>250</v>
      </c>
      <c r="W4" s="38" t="s">
        <v>376</v>
      </c>
      <c r="X4" s="39" t="s">
        <v>221</v>
      </c>
      <c r="Y4" s="39"/>
      <c r="Z4" s="14" t="str">
        <f t="shared" si="0"/>
        <v>3 &amp; 1967 &amp; German Pavilion &amp; Pavilion &amp; Montreal &amp; Canada &amp; F. Otto &amp; Lehonardt &amp; p.~274 &amp; \cite{IL10}\\</v>
      </c>
      <c r="AA4" s="15"/>
    </row>
    <row r="5" spans="1:27" s="49" customFormat="1" ht="57" customHeight="1" x14ac:dyDescent="0.2">
      <c r="A5" s="42">
        <f t="shared" si="1"/>
        <v>4</v>
      </c>
      <c r="B5" s="43">
        <v>1973</v>
      </c>
      <c r="C5" s="44" t="s">
        <v>124</v>
      </c>
      <c r="D5" s="44" t="s">
        <v>253</v>
      </c>
      <c r="E5" s="44" t="s">
        <v>301</v>
      </c>
      <c r="F5" s="45" t="s">
        <v>302</v>
      </c>
      <c r="G5" s="43" t="s">
        <v>153</v>
      </c>
      <c r="H5" s="44" t="s">
        <v>153</v>
      </c>
      <c r="I5" s="45" t="s">
        <v>124</v>
      </c>
      <c r="J5" s="43" t="s">
        <v>126</v>
      </c>
      <c r="K5" s="44" t="s">
        <v>57</v>
      </c>
      <c r="L5" s="44" t="s">
        <v>231</v>
      </c>
      <c r="M5" s="44" t="s">
        <v>142</v>
      </c>
      <c r="N5" s="44"/>
      <c r="O5" s="45" t="s">
        <v>268</v>
      </c>
      <c r="P5" s="52" t="s">
        <v>309</v>
      </c>
      <c r="Q5" s="52" t="s">
        <v>307</v>
      </c>
      <c r="R5" s="51" t="s">
        <v>308</v>
      </c>
      <c r="S5" s="47" t="s">
        <v>304</v>
      </c>
      <c r="T5" s="47" t="s">
        <v>242</v>
      </c>
      <c r="U5" s="51" t="s">
        <v>305</v>
      </c>
      <c r="V5" s="51" t="s">
        <v>306</v>
      </c>
      <c r="W5" s="47" t="s">
        <v>377</v>
      </c>
      <c r="X5" s="48" t="s">
        <v>387</v>
      </c>
      <c r="Y5" s="48"/>
      <c r="Z5" s="14" t="str">
        <f t="shared" si="0"/>
        <v>4 &amp; 1973 &amp; Seibu &amp; Experiment &amp; Tokyo &amp; Japan &amp; IL &amp; IL &amp; p.~245 &amp; \cite{IL13}\\</v>
      </c>
      <c r="AA5" s="50"/>
    </row>
    <row r="6" spans="1:27" s="14" customFormat="1" ht="57" customHeight="1" x14ac:dyDescent="0.2">
      <c r="A6" s="33">
        <f t="shared" si="1"/>
        <v>5</v>
      </c>
      <c r="B6" s="34">
        <v>1974</v>
      </c>
      <c r="C6" s="35" t="s">
        <v>346</v>
      </c>
      <c r="D6" s="35" t="s">
        <v>253</v>
      </c>
      <c r="E6" s="35" t="s">
        <v>270</v>
      </c>
      <c r="F6" s="36" t="s">
        <v>271</v>
      </c>
      <c r="G6" s="34" t="s">
        <v>199</v>
      </c>
      <c r="H6" s="35" t="s">
        <v>153</v>
      </c>
      <c r="I6" s="36"/>
      <c r="J6" s="34" t="s">
        <v>194</v>
      </c>
      <c r="K6" s="35" t="s">
        <v>57</v>
      </c>
      <c r="L6" s="35" t="s">
        <v>262</v>
      </c>
      <c r="M6" s="35" t="s">
        <v>60</v>
      </c>
      <c r="N6" s="35" t="s">
        <v>265</v>
      </c>
      <c r="O6" s="36" t="s">
        <v>268</v>
      </c>
      <c r="P6" s="40" t="s">
        <v>263</v>
      </c>
      <c r="Q6" s="40" t="s">
        <v>292</v>
      </c>
      <c r="R6" s="41" t="s">
        <v>256</v>
      </c>
      <c r="S6" s="38" t="s">
        <v>261</v>
      </c>
      <c r="T6" s="38" t="s">
        <v>234</v>
      </c>
      <c r="U6" s="41" t="s">
        <v>264</v>
      </c>
      <c r="V6" s="38" t="s">
        <v>260</v>
      </c>
      <c r="W6" s="38" t="s">
        <v>378</v>
      </c>
      <c r="X6" s="39" t="s">
        <v>221</v>
      </c>
      <c r="Y6" s="39"/>
      <c r="Z6" s="14" t="str">
        <f t="shared" si="0"/>
        <v>5 &amp; 1974 &amp; Basket shell &amp; Experiment &amp; Amehabad &amp; India &amp; G. Sarabhai &amp; IL &amp; p.~304 &amp; \cite{IL10}\\</v>
      </c>
      <c r="AA6" s="15"/>
    </row>
    <row r="7" spans="1:27" s="14" customFormat="1" ht="57" customHeight="1" x14ac:dyDescent="0.2">
      <c r="A7" s="33">
        <f t="shared" si="1"/>
        <v>6</v>
      </c>
      <c r="B7" s="34">
        <v>1974</v>
      </c>
      <c r="C7" s="35" t="s">
        <v>370</v>
      </c>
      <c r="D7" s="35" t="s">
        <v>253</v>
      </c>
      <c r="E7" s="35" t="s">
        <v>273</v>
      </c>
      <c r="F7" s="36" t="s">
        <v>274</v>
      </c>
      <c r="G7" s="34" t="s">
        <v>133</v>
      </c>
      <c r="H7" s="35" t="s">
        <v>275</v>
      </c>
      <c r="I7" s="36"/>
      <c r="J7" s="34" t="s">
        <v>276</v>
      </c>
      <c r="K7" s="35" t="s">
        <v>57</v>
      </c>
      <c r="L7" s="35" t="s">
        <v>255</v>
      </c>
      <c r="M7" s="35"/>
      <c r="N7" s="35"/>
      <c r="O7" s="36" t="s">
        <v>268</v>
      </c>
      <c r="P7" s="37" t="s">
        <v>282</v>
      </c>
      <c r="Q7" s="37" t="s">
        <v>293</v>
      </c>
      <c r="R7" s="38" t="s">
        <v>286</v>
      </c>
      <c r="S7" s="38" t="s">
        <v>278</v>
      </c>
      <c r="T7" s="38" t="s">
        <v>279</v>
      </c>
      <c r="U7" s="38" t="s">
        <v>280</v>
      </c>
      <c r="V7" s="38" t="s">
        <v>281</v>
      </c>
      <c r="W7" s="38" t="s">
        <v>379</v>
      </c>
      <c r="X7" s="39" t="s">
        <v>221</v>
      </c>
      <c r="Y7" s="39"/>
      <c r="Z7" s="14" t="str">
        <f t="shared" si="0"/>
        <v>6 &amp; 1974 &amp; Experimental structure  &amp; Experiment &amp; London &amp; England &amp; Students &amp; Arup + IL &amp; p.~306 &amp; \cite{IL10}\\</v>
      </c>
      <c r="AA7" s="15"/>
    </row>
    <row r="8" spans="1:27" s="14" customFormat="1" ht="57" customHeight="1" x14ac:dyDescent="0.2">
      <c r="A8" s="33">
        <f t="shared" si="1"/>
        <v>7</v>
      </c>
      <c r="B8" s="34">
        <v>1975</v>
      </c>
      <c r="C8" s="35" t="s">
        <v>344</v>
      </c>
      <c r="D8" s="35" t="s">
        <v>272</v>
      </c>
      <c r="E8" s="35" t="s">
        <v>1</v>
      </c>
      <c r="F8" s="36" t="s">
        <v>224</v>
      </c>
      <c r="G8" s="34" t="s">
        <v>300</v>
      </c>
      <c r="H8" s="35" t="s">
        <v>275</v>
      </c>
      <c r="I8" s="36"/>
      <c r="J8" s="34" t="s">
        <v>277</v>
      </c>
      <c r="K8" s="35" t="s">
        <v>20</v>
      </c>
      <c r="L8" s="35" t="s">
        <v>296</v>
      </c>
      <c r="M8" s="35" t="s">
        <v>299</v>
      </c>
      <c r="N8" s="35" t="s">
        <v>298</v>
      </c>
      <c r="O8" s="36" t="s">
        <v>268</v>
      </c>
      <c r="P8" s="37" t="s">
        <v>283</v>
      </c>
      <c r="Q8" s="37" t="s">
        <v>285</v>
      </c>
      <c r="R8" s="38" t="s">
        <v>284</v>
      </c>
      <c r="S8" s="38" t="s">
        <v>297</v>
      </c>
      <c r="T8" s="38" t="s">
        <v>242</v>
      </c>
      <c r="U8" s="38" t="s">
        <v>294</v>
      </c>
      <c r="V8" s="38" t="s">
        <v>295</v>
      </c>
      <c r="W8" s="38" t="s">
        <v>380</v>
      </c>
      <c r="X8" s="39" t="s">
        <v>221</v>
      </c>
      <c r="Y8" s="39"/>
      <c r="Z8" s="14" t="str">
        <f t="shared" si="0"/>
        <v>7 &amp; 1975 &amp; Mannheim Multihalle &amp; Building &amp; Mannheim &amp; Germany &amp; C. Mutshler &amp; Arup + IL &amp; p.~308 &amp; \cite{IL10}\\</v>
      </c>
      <c r="AA8" s="15"/>
    </row>
    <row r="9" spans="1:27" s="49" customFormat="1" ht="57" customHeight="1" x14ac:dyDescent="0.2">
      <c r="A9" s="42">
        <f t="shared" si="1"/>
        <v>8</v>
      </c>
      <c r="B9" s="43">
        <v>1973</v>
      </c>
      <c r="C9" s="44" t="s">
        <v>343</v>
      </c>
      <c r="D9" s="44" t="s">
        <v>272</v>
      </c>
      <c r="E9" s="44" t="s">
        <v>158</v>
      </c>
      <c r="F9" s="45" t="s">
        <v>271</v>
      </c>
      <c r="G9" s="43" t="s">
        <v>199</v>
      </c>
      <c r="H9" s="44" t="s">
        <v>314</v>
      </c>
      <c r="I9" s="45"/>
      <c r="J9" s="43" t="s">
        <v>137</v>
      </c>
      <c r="K9" s="44" t="s">
        <v>57</v>
      </c>
      <c r="L9" s="44" t="s">
        <v>262</v>
      </c>
      <c r="M9" s="44" t="s">
        <v>313</v>
      </c>
      <c r="N9" s="44" t="s">
        <v>205</v>
      </c>
      <c r="O9" s="45" t="s">
        <v>268</v>
      </c>
      <c r="P9" s="52" t="s">
        <v>310</v>
      </c>
      <c r="Q9" s="52" t="s">
        <v>311</v>
      </c>
      <c r="R9" s="51"/>
      <c r="S9" s="47" t="s">
        <v>312</v>
      </c>
      <c r="T9" s="47" t="s">
        <v>242</v>
      </c>
      <c r="U9" s="51"/>
      <c r="V9" s="51"/>
      <c r="W9" s="47" t="s">
        <v>381</v>
      </c>
      <c r="X9" s="48" t="s">
        <v>387</v>
      </c>
      <c r="Y9" s="48"/>
      <c r="Z9" s="14" t="str">
        <f t="shared" si="0"/>
        <v>8 &amp; 1973 &amp; Ferrocement gridshell &amp; Building &amp; Ahmedabad &amp; India &amp; G. Sarabhai &amp; G. Ramaswamy + IL &amp; p.~248 &amp; \cite{IL13}\\</v>
      </c>
      <c r="AA9" s="50"/>
    </row>
    <row r="10" spans="1:27" s="49" customFormat="1" ht="57" customHeight="1" x14ac:dyDescent="0.2">
      <c r="A10" s="42">
        <f t="shared" si="1"/>
        <v>9</v>
      </c>
      <c r="B10" s="43">
        <v>1976</v>
      </c>
      <c r="C10" s="44" t="s">
        <v>315</v>
      </c>
      <c r="D10" s="44" t="s">
        <v>218</v>
      </c>
      <c r="E10" s="44" t="s">
        <v>273</v>
      </c>
      <c r="F10" s="45" t="s">
        <v>274</v>
      </c>
      <c r="G10" s="43" t="s">
        <v>133</v>
      </c>
      <c r="H10" s="44" t="s">
        <v>319</v>
      </c>
      <c r="I10" s="45"/>
      <c r="J10" s="43" t="s">
        <v>194</v>
      </c>
      <c r="K10" s="44" t="s">
        <v>57</v>
      </c>
      <c r="L10" s="44" t="s">
        <v>318</v>
      </c>
      <c r="M10" s="44"/>
      <c r="N10" s="44"/>
      <c r="O10" s="45" t="s">
        <v>268</v>
      </c>
      <c r="P10" s="46" t="s">
        <v>317</v>
      </c>
      <c r="Q10" s="46" t="s">
        <v>316</v>
      </c>
      <c r="R10" s="51"/>
      <c r="S10" s="47" t="s">
        <v>261</v>
      </c>
      <c r="T10" s="47" t="s">
        <v>195</v>
      </c>
      <c r="U10" s="51"/>
      <c r="V10" s="51"/>
      <c r="W10" s="47" t="s">
        <v>382</v>
      </c>
      <c r="X10" s="48" t="s">
        <v>387</v>
      </c>
      <c r="Y10" s="48"/>
      <c r="Z10" s="14" t="str">
        <f t="shared" si="0"/>
        <v>9 &amp; 1976 &amp; AA Bamboo Latice Shell &amp; Workshop &amp; London &amp; England &amp; Students &amp; J. Park + B. Oleiko &amp; p.~255 &amp; \cite{IL13}\\</v>
      </c>
      <c r="AA10" s="50"/>
    </row>
    <row r="11" spans="1:27" s="14" customFormat="1" ht="57" customHeight="1" x14ac:dyDescent="0.2">
      <c r="A11" s="33">
        <f t="shared" si="1"/>
        <v>10</v>
      </c>
      <c r="B11" s="34">
        <v>1976</v>
      </c>
      <c r="C11" s="35" t="s">
        <v>320</v>
      </c>
      <c r="D11" s="35" t="s">
        <v>253</v>
      </c>
      <c r="E11" s="35" t="s">
        <v>254</v>
      </c>
      <c r="F11" s="36" t="s">
        <v>224</v>
      </c>
      <c r="G11" s="34" t="s">
        <v>133</v>
      </c>
      <c r="H11" s="35" t="s">
        <v>182</v>
      </c>
      <c r="I11" s="36"/>
      <c r="J11" s="34" t="s">
        <v>277</v>
      </c>
      <c r="K11" s="35" t="s">
        <v>57</v>
      </c>
      <c r="L11" s="35" t="s">
        <v>255</v>
      </c>
      <c r="M11" s="35" t="s">
        <v>142</v>
      </c>
      <c r="N11" s="35"/>
      <c r="O11" s="36" t="s">
        <v>269</v>
      </c>
      <c r="P11" s="37" t="s">
        <v>342</v>
      </c>
      <c r="Q11" s="37" t="s">
        <v>291</v>
      </c>
      <c r="R11" s="38" t="s">
        <v>286</v>
      </c>
      <c r="S11" s="38" t="s">
        <v>257</v>
      </c>
      <c r="T11" s="38" t="s">
        <v>242</v>
      </c>
      <c r="U11" s="38" t="s">
        <v>258</v>
      </c>
      <c r="V11" s="38" t="s">
        <v>259</v>
      </c>
      <c r="W11" s="38" t="s">
        <v>383</v>
      </c>
      <c r="X11" s="39" t="s">
        <v>221</v>
      </c>
      <c r="Y11" s="39" t="s">
        <v>221</v>
      </c>
      <c r="Z11" s="14" t="str">
        <f t="shared" si="0"/>
        <v>10 &amp; 1976 &amp; Test structure of a gridshell &amp; Experiment &amp; Stuttgart &amp; Germany &amp; Students &amp; J. Hennicke &amp; p.~298 &amp; \cite{IL10}\\</v>
      </c>
      <c r="AA11" s="15"/>
    </row>
    <row r="12" spans="1:27" s="49" customFormat="1" ht="57" customHeight="1" x14ac:dyDescent="0.2">
      <c r="A12" s="42">
        <f t="shared" si="1"/>
        <v>11</v>
      </c>
      <c r="B12" s="43">
        <v>1977</v>
      </c>
      <c r="C12" s="44" t="s">
        <v>181</v>
      </c>
      <c r="D12" s="44" t="s">
        <v>218</v>
      </c>
      <c r="E12" s="44" t="s">
        <v>321</v>
      </c>
      <c r="F12" s="45" t="s">
        <v>128</v>
      </c>
      <c r="G12" s="43" t="s">
        <v>133</v>
      </c>
      <c r="H12" s="44" t="s">
        <v>182</v>
      </c>
      <c r="I12" s="45"/>
      <c r="J12" s="43" t="s">
        <v>341</v>
      </c>
      <c r="K12" s="44" t="s">
        <v>57</v>
      </c>
      <c r="L12" s="44" t="s">
        <v>231</v>
      </c>
      <c r="M12" s="44"/>
      <c r="N12" s="44"/>
      <c r="O12" s="45" t="s">
        <v>268</v>
      </c>
      <c r="P12" s="46" t="s">
        <v>322</v>
      </c>
      <c r="Q12" s="46" t="s">
        <v>293</v>
      </c>
      <c r="R12" s="47" t="s">
        <v>323</v>
      </c>
      <c r="S12" s="47" t="s">
        <v>324</v>
      </c>
      <c r="T12" s="47" t="s">
        <v>242</v>
      </c>
      <c r="U12" s="51"/>
      <c r="V12" s="51"/>
      <c r="W12" s="47" t="s">
        <v>384</v>
      </c>
      <c r="X12" s="48" t="s">
        <v>387</v>
      </c>
      <c r="Y12" s="48"/>
      <c r="Z12" s="14" t="str">
        <f t="shared" si="0"/>
        <v>11 &amp; 1977 &amp; Small Pavilion &amp; Workshop &amp; Mexico City &amp; Mexico &amp; Students &amp; J. Hennicke &amp; p.~258 &amp; \cite{IL13}\\</v>
      </c>
      <c r="AA12" s="50"/>
    </row>
    <row r="13" spans="1:27" s="49" customFormat="1" ht="57" customHeight="1" x14ac:dyDescent="0.2">
      <c r="A13" s="42">
        <f t="shared" si="1"/>
        <v>12</v>
      </c>
      <c r="B13" s="43">
        <v>1977</v>
      </c>
      <c r="C13" s="44" t="s">
        <v>340</v>
      </c>
      <c r="D13" s="44" t="s">
        <v>218</v>
      </c>
      <c r="E13" s="44" t="s">
        <v>160</v>
      </c>
      <c r="F13" s="45" t="s">
        <v>128</v>
      </c>
      <c r="G13" s="43" t="s">
        <v>133</v>
      </c>
      <c r="H13" s="44" t="s">
        <v>154</v>
      </c>
      <c r="I13" s="45"/>
      <c r="J13" s="43" t="s">
        <v>162</v>
      </c>
      <c r="K13" s="44" t="s">
        <v>20</v>
      </c>
      <c r="L13" s="44" t="s">
        <v>231</v>
      </c>
      <c r="M13" s="44" t="s">
        <v>168</v>
      </c>
      <c r="N13" s="44" t="s">
        <v>329</v>
      </c>
      <c r="O13" s="45" t="s">
        <v>268</v>
      </c>
      <c r="P13" s="46" t="s">
        <v>326</v>
      </c>
      <c r="Q13" s="46" t="s">
        <v>328</v>
      </c>
      <c r="R13" s="47" t="s">
        <v>327</v>
      </c>
      <c r="S13" s="47" t="s">
        <v>325</v>
      </c>
      <c r="T13" s="47" t="s">
        <v>167</v>
      </c>
      <c r="U13" s="51"/>
      <c r="V13" s="51"/>
      <c r="W13" s="47" t="s">
        <v>385</v>
      </c>
      <c r="X13" s="48" t="s">
        <v>387</v>
      </c>
      <c r="Y13" s="48"/>
      <c r="Z13" s="14" t="str">
        <f t="shared" si="0"/>
        <v>12 &amp; 1977 &amp; Small Greenhouse &amp; Workshop &amp; Zitacuaro &amp; Mexico &amp; Students &amp; F. Montero &amp; p.~260 &amp; \cite{IL13}\\</v>
      </c>
      <c r="AA13" s="50"/>
    </row>
    <row r="14" spans="1:27" s="49" customFormat="1" ht="57" customHeight="1" x14ac:dyDescent="0.2">
      <c r="A14" s="42">
        <f t="shared" si="1"/>
        <v>13</v>
      </c>
      <c r="B14" s="43">
        <v>1977</v>
      </c>
      <c r="C14" s="44" t="s">
        <v>371</v>
      </c>
      <c r="D14" s="44" t="s">
        <v>218</v>
      </c>
      <c r="E14" s="44" t="s">
        <v>321</v>
      </c>
      <c r="F14" s="45" t="s">
        <v>128</v>
      </c>
      <c r="G14" s="43" t="s">
        <v>133</v>
      </c>
      <c r="H14" s="44" t="s">
        <v>154</v>
      </c>
      <c r="I14" s="45"/>
      <c r="J14" s="43" t="s">
        <v>126</v>
      </c>
      <c r="K14" s="44" t="s">
        <v>57</v>
      </c>
      <c r="L14" s="44" t="s">
        <v>231</v>
      </c>
      <c r="M14" s="44"/>
      <c r="N14" s="44" t="s">
        <v>329</v>
      </c>
      <c r="O14" s="45" t="s">
        <v>268</v>
      </c>
      <c r="P14" s="46" t="s">
        <v>330</v>
      </c>
      <c r="Q14" s="46" t="s">
        <v>331</v>
      </c>
      <c r="R14" s="47" t="s">
        <v>332</v>
      </c>
      <c r="S14" s="47" t="s">
        <v>334</v>
      </c>
      <c r="T14" s="47" t="s">
        <v>242</v>
      </c>
      <c r="U14" s="51"/>
      <c r="V14" s="51"/>
      <c r="W14" s="47" t="s">
        <v>374</v>
      </c>
      <c r="X14" s="48" t="s">
        <v>387</v>
      </c>
      <c r="Y14" s="48"/>
      <c r="Z14" s="14" t="str">
        <f t="shared" si="0"/>
        <v>13 &amp; 1977 &amp; Experimental structure &amp; Workshop &amp; Mexico City &amp; Mexico &amp; Students &amp; F. Montero &amp; p.~270 &amp; \cite{IL13}\\</v>
      </c>
      <c r="AA14" s="50"/>
    </row>
    <row r="15" spans="1:27" s="49" customFormat="1" ht="57" customHeight="1" x14ac:dyDescent="0.2">
      <c r="A15" s="42">
        <f t="shared" si="1"/>
        <v>14</v>
      </c>
      <c r="B15" s="43">
        <v>1977</v>
      </c>
      <c r="C15" s="44" t="s">
        <v>371</v>
      </c>
      <c r="D15" s="44" t="s">
        <v>218</v>
      </c>
      <c r="E15" s="44" t="s">
        <v>321</v>
      </c>
      <c r="F15" s="45" t="s">
        <v>128</v>
      </c>
      <c r="G15" s="43" t="s">
        <v>133</v>
      </c>
      <c r="H15" s="44" t="s">
        <v>154</v>
      </c>
      <c r="I15" s="45"/>
      <c r="J15" s="43" t="s">
        <v>137</v>
      </c>
      <c r="K15" s="44" t="s">
        <v>57</v>
      </c>
      <c r="L15" s="44" t="s">
        <v>335</v>
      </c>
      <c r="M15" s="44"/>
      <c r="N15" s="44" t="s">
        <v>338</v>
      </c>
      <c r="O15" s="45" t="s">
        <v>268</v>
      </c>
      <c r="P15" s="46" t="s">
        <v>336</v>
      </c>
      <c r="Q15" s="52" t="s">
        <v>337</v>
      </c>
      <c r="R15" s="47" t="s">
        <v>327</v>
      </c>
      <c r="S15" s="47" t="s">
        <v>339</v>
      </c>
      <c r="T15" s="47" t="s">
        <v>487</v>
      </c>
      <c r="U15" s="51"/>
      <c r="V15" s="51"/>
      <c r="W15" s="47" t="s">
        <v>374</v>
      </c>
      <c r="X15" s="48" t="s">
        <v>387</v>
      </c>
      <c r="Y15" s="48"/>
      <c r="Z15" s="14" t="str">
        <f t="shared" si="0"/>
        <v>14 &amp; 1977 &amp; Experimental structure &amp; Workshop &amp; Mexico City &amp; Mexico &amp; Students &amp; F. Montero &amp; p.~270 &amp; \cite{IL13}\\</v>
      </c>
      <c r="AA15" s="50"/>
    </row>
    <row r="16" spans="1:27" s="62" customFormat="1" ht="57" customHeight="1" x14ac:dyDescent="0.2">
      <c r="A16" s="53">
        <f t="shared" si="1"/>
        <v>15</v>
      </c>
      <c r="B16" s="54">
        <v>1995</v>
      </c>
      <c r="C16" s="55" t="s">
        <v>348</v>
      </c>
      <c r="D16" s="55" t="s">
        <v>272</v>
      </c>
      <c r="E16" s="55" t="s">
        <v>96</v>
      </c>
      <c r="F16" s="56" t="s">
        <v>274</v>
      </c>
      <c r="G16" s="54" t="s">
        <v>349</v>
      </c>
      <c r="H16" s="55" t="s">
        <v>356</v>
      </c>
      <c r="I16" s="56"/>
      <c r="J16" s="54" t="s">
        <v>353</v>
      </c>
      <c r="K16" s="55" t="s">
        <v>20</v>
      </c>
      <c r="L16" s="55"/>
      <c r="M16" s="55"/>
      <c r="N16" s="64" t="s">
        <v>352</v>
      </c>
      <c r="O16" s="56" t="s">
        <v>360</v>
      </c>
      <c r="P16" s="57"/>
      <c r="Q16" s="58"/>
      <c r="R16" s="59"/>
      <c r="S16" s="59" t="s">
        <v>354</v>
      </c>
      <c r="T16" s="59"/>
      <c r="U16" s="60"/>
      <c r="V16" s="60"/>
      <c r="W16" s="59" t="s">
        <v>386</v>
      </c>
      <c r="X16" s="61" t="s">
        <v>351</v>
      </c>
      <c r="Y16" s="61"/>
      <c r="Z16" s="14" t="str">
        <f t="shared" si="0"/>
        <v>15 &amp; 1995 &amp; Westminster Lodge &amp; Building &amp; Dorset &amp; England &amp; E. Cullinan &amp; F. Otto + Happold &amp; p.~90 &amp; \cite{Burton2010}\\</v>
      </c>
      <c r="AA16" s="63"/>
    </row>
    <row r="17" spans="1:27" s="14" customFormat="1" ht="57" customHeight="1" x14ac:dyDescent="0.2">
      <c r="A17" s="16">
        <f t="shared" si="1"/>
        <v>16</v>
      </c>
      <c r="B17" s="19">
        <v>1998</v>
      </c>
      <c r="C17" s="20" t="s">
        <v>110</v>
      </c>
      <c r="D17" s="20" t="s">
        <v>272</v>
      </c>
      <c r="E17" s="20" t="s">
        <v>88</v>
      </c>
      <c r="F17" s="21" t="s">
        <v>274</v>
      </c>
      <c r="G17" s="19" t="s">
        <v>355</v>
      </c>
      <c r="H17" s="20" t="s">
        <v>357</v>
      </c>
      <c r="I17" s="21"/>
      <c r="J17" s="19" t="s">
        <v>358</v>
      </c>
      <c r="K17" s="20" t="s">
        <v>57</v>
      </c>
      <c r="L17" s="20"/>
      <c r="M17" s="5" t="s">
        <v>84</v>
      </c>
      <c r="N17" s="20"/>
      <c r="O17" s="21" t="s">
        <v>361</v>
      </c>
      <c r="P17" s="27" t="s">
        <v>359</v>
      </c>
      <c r="Q17" s="27" t="s">
        <v>293</v>
      </c>
      <c r="R17" s="30"/>
      <c r="S17" s="30" t="s">
        <v>86</v>
      </c>
      <c r="T17" s="30" t="s">
        <v>167</v>
      </c>
      <c r="U17" s="30"/>
      <c r="V17" s="30"/>
      <c r="W17" s="30"/>
      <c r="X17" s="18"/>
      <c r="Y17" s="18"/>
      <c r="Z17" s="14" t="str">
        <f t="shared" si="0"/>
        <v>16 &amp; 1998 &amp; Earth Center &amp; Building &amp; Doncaster &amp; England &amp; Grant &amp; Happold &amp;  &amp; \\</v>
      </c>
      <c r="AA17" s="15"/>
    </row>
    <row r="18" spans="1:27" s="14" customFormat="1" ht="57" customHeight="1" x14ac:dyDescent="0.2">
      <c r="A18" s="16">
        <f t="shared" si="1"/>
        <v>17</v>
      </c>
      <c r="B18" s="19">
        <v>2000</v>
      </c>
      <c r="C18" s="20" t="s">
        <v>98</v>
      </c>
      <c r="D18" s="20" t="s">
        <v>223</v>
      </c>
      <c r="E18" s="20" t="s">
        <v>362</v>
      </c>
      <c r="F18" s="21" t="s">
        <v>224</v>
      </c>
      <c r="G18" s="19" t="s">
        <v>363</v>
      </c>
      <c r="H18" s="20" t="s">
        <v>357</v>
      </c>
      <c r="I18" s="21"/>
      <c r="J18" s="19" t="s">
        <v>364</v>
      </c>
      <c r="K18" s="20" t="s">
        <v>57</v>
      </c>
      <c r="L18" s="20" t="s">
        <v>318</v>
      </c>
      <c r="M18" s="20" t="s">
        <v>365</v>
      </c>
      <c r="N18" s="5" t="s">
        <v>63</v>
      </c>
      <c r="O18" s="21" t="s">
        <v>360</v>
      </c>
      <c r="P18" s="27" t="s">
        <v>368</v>
      </c>
      <c r="Q18" s="27" t="s">
        <v>390</v>
      </c>
      <c r="R18" s="30"/>
      <c r="S18" s="30" t="s">
        <v>367</v>
      </c>
      <c r="T18" s="30" t="s">
        <v>366</v>
      </c>
      <c r="U18" s="30"/>
      <c r="V18" s="30"/>
      <c r="W18" s="30"/>
      <c r="X18" s="18" t="s">
        <v>369</v>
      </c>
      <c r="Y18" s="18"/>
      <c r="Z18" s="14" t="str">
        <f t="shared" si="0"/>
        <v>17 &amp; 2000 &amp; Japan Pavilion &amp; Pavilion &amp; Hannover &amp; Germany &amp; S. Ban + F. Otto &amp; Happold &amp;  &amp; \cite{Ban2006}\\</v>
      </c>
      <c r="AA18" s="15"/>
    </row>
    <row r="19" spans="1:27" s="14" customFormat="1" ht="57" customHeight="1" x14ac:dyDescent="0.2">
      <c r="A19" s="16">
        <f t="shared" si="1"/>
        <v>18</v>
      </c>
      <c r="B19" s="19">
        <v>2002</v>
      </c>
      <c r="C19" s="20" t="s">
        <v>3</v>
      </c>
      <c r="D19" s="20" t="s">
        <v>272</v>
      </c>
      <c r="E19" s="20" t="s">
        <v>3</v>
      </c>
      <c r="F19" s="21" t="s">
        <v>274</v>
      </c>
      <c r="G19" s="19" t="s">
        <v>349</v>
      </c>
      <c r="H19" s="20" t="s">
        <v>402</v>
      </c>
      <c r="I19" s="21"/>
      <c r="J19" s="19" t="s">
        <v>358</v>
      </c>
      <c r="K19" s="20" t="s">
        <v>20</v>
      </c>
      <c r="L19" s="20" t="s">
        <v>389</v>
      </c>
      <c r="M19" s="20" t="s">
        <v>60</v>
      </c>
      <c r="N19" s="20" t="s">
        <v>392</v>
      </c>
      <c r="O19" s="21" t="s">
        <v>360</v>
      </c>
      <c r="P19" s="27" t="s">
        <v>491</v>
      </c>
      <c r="Q19" s="27" t="s">
        <v>488</v>
      </c>
      <c r="R19" s="30" t="s">
        <v>489</v>
      </c>
      <c r="S19" s="30" t="s">
        <v>388</v>
      </c>
      <c r="T19" s="30" t="s">
        <v>391</v>
      </c>
      <c r="U19" s="30"/>
      <c r="V19" s="30"/>
      <c r="W19" s="30"/>
      <c r="X19" s="18" t="s">
        <v>393</v>
      </c>
      <c r="Y19" s="18"/>
      <c r="Z19" s="14" t="str">
        <f>CONCATENATE(A19," &amp; ",B19," &amp; ",C19," &amp; ",D19," &amp; ",E19," &amp; ",F19," &amp; ",G19," &amp; ",H19," &amp; ",W19," &amp; ",X19,"\\")</f>
        <v>18 &amp; 2002 &amp; Downland &amp; Building &amp; Downland &amp; England &amp; E. Cullinan &amp; Happold + C. William &amp;  &amp; \cite{Harris2003}\\</v>
      </c>
      <c r="AA19" s="15"/>
    </row>
    <row r="20" spans="1:27" s="14" customFormat="1" ht="57" customHeight="1" x14ac:dyDescent="0.2">
      <c r="A20" s="16">
        <f t="shared" si="1"/>
        <v>19</v>
      </c>
      <c r="B20" s="19">
        <v>2002</v>
      </c>
      <c r="C20" s="20" t="s">
        <v>394</v>
      </c>
      <c r="D20" s="20" t="s">
        <v>272</v>
      </c>
      <c r="E20" s="20" t="s">
        <v>2</v>
      </c>
      <c r="F20" s="21" t="s">
        <v>274</v>
      </c>
      <c r="G20" s="19"/>
      <c r="H20" s="20"/>
      <c r="I20" s="21"/>
      <c r="J20" s="19" t="s">
        <v>395</v>
      </c>
      <c r="K20" s="20" t="s">
        <v>57</v>
      </c>
      <c r="L20" s="20" t="s">
        <v>231</v>
      </c>
      <c r="M20" s="20" t="s">
        <v>400</v>
      </c>
      <c r="N20" s="20" t="s">
        <v>397</v>
      </c>
      <c r="O20" s="21" t="s">
        <v>268</v>
      </c>
      <c r="P20" s="27" t="s">
        <v>310</v>
      </c>
      <c r="Q20" s="27" t="s">
        <v>456</v>
      </c>
      <c r="R20" s="30"/>
      <c r="S20" s="30" t="s">
        <v>398</v>
      </c>
      <c r="T20" s="30" t="s">
        <v>399</v>
      </c>
      <c r="U20" s="30"/>
      <c r="V20" s="30"/>
      <c r="W20" s="30"/>
      <c r="X20" s="18"/>
      <c r="Y20" s="18"/>
      <c r="Z20" s="14" t="str">
        <f t="shared" si="0"/>
        <v>19 &amp; 2002 &amp; Life Science Centre Trust &amp; Building &amp; Pishwanton &amp; England &amp;  &amp;  &amp;  &amp; \\</v>
      </c>
      <c r="AA20" s="15"/>
    </row>
    <row r="21" spans="1:27" s="14" customFormat="1" ht="57" customHeight="1" x14ac:dyDescent="0.2">
      <c r="A21" s="16">
        <f t="shared" si="1"/>
        <v>20</v>
      </c>
      <c r="B21" s="19">
        <v>2003</v>
      </c>
      <c r="C21" s="20" t="s">
        <v>492</v>
      </c>
      <c r="D21" s="20" t="s">
        <v>272</v>
      </c>
      <c r="E21" s="20" t="s">
        <v>493</v>
      </c>
      <c r="F21" s="21" t="s">
        <v>274</v>
      </c>
      <c r="G21" s="19"/>
      <c r="H21" s="20"/>
      <c r="I21" s="21"/>
      <c r="J21" s="19" t="s">
        <v>494</v>
      </c>
      <c r="K21" s="20" t="s">
        <v>57</v>
      </c>
      <c r="L21" s="20" t="s">
        <v>231</v>
      </c>
      <c r="M21" s="20" t="s">
        <v>496</v>
      </c>
      <c r="N21" s="5"/>
      <c r="O21" s="21"/>
      <c r="P21" s="32" t="s">
        <v>497</v>
      </c>
      <c r="Q21" s="27" t="s">
        <v>478</v>
      </c>
      <c r="R21" s="30"/>
      <c r="S21" s="30" t="s">
        <v>495</v>
      </c>
      <c r="T21" s="30" t="s">
        <v>399</v>
      </c>
      <c r="U21" s="30"/>
      <c r="V21" s="30"/>
      <c r="W21" s="30"/>
      <c r="X21" s="18"/>
      <c r="Y21" s="18"/>
      <c r="AA21" s="15"/>
    </row>
    <row r="22" spans="1:27" s="14" customFormat="1" ht="57" customHeight="1" x14ac:dyDescent="0.2">
      <c r="A22" s="16">
        <f t="shared" si="1"/>
        <v>21</v>
      </c>
      <c r="B22" s="19">
        <v>2006</v>
      </c>
      <c r="C22" s="20" t="s">
        <v>4</v>
      </c>
      <c r="D22" s="20" t="s">
        <v>272</v>
      </c>
      <c r="E22" s="20" t="s">
        <v>4</v>
      </c>
      <c r="F22" s="21" t="s">
        <v>274</v>
      </c>
      <c r="G22" s="19" t="s">
        <v>401</v>
      </c>
      <c r="H22" s="20" t="s">
        <v>402</v>
      </c>
      <c r="I22" s="21"/>
      <c r="J22" s="19" t="s">
        <v>395</v>
      </c>
      <c r="K22" s="20" t="s">
        <v>20</v>
      </c>
      <c r="L22" s="20" t="s">
        <v>389</v>
      </c>
      <c r="M22" s="20" t="s">
        <v>403</v>
      </c>
      <c r="N22" s="20" t="s">
        <v>405</v>
      </c>
      <c r="O22" s="21" t="s">
        <v>360</v>
      </c>
      <c r="P22" s="27" t="s">
        <v>53</v>
      </c>
      <c r="Q22" s="27" t="s">
        <v>406</v>
      </c>
      <c r="R22" s="30"/>
      <c r="S22" s="30" t="s">
        <v>404</v>
      </c>
      <c r="T22" s="30" t="s">
        <v>366</v>
      </c>
      <c r="U22" s="30"/>
      <c r="V22" s="30"/>
      <c r="W22" s="30"/>
      <c r="X22" s="18" t="s">
        <v>407</v>
      </c>
      <c r="Y22" s="18"/>
      <c r="Z22" s="14" t="str">
        <f t="shared" si="0"/>
        <v>21 &amp; 2006 &amp; Savill &amp; Building &amp; Savill &amp; England &amp; G. Howells &amp; Happold + C. William &amp;  &amp; \cite{Harris2008}\\</v>
      </c>
      <c r="AA22" s="15"/>
    </row>
    <row r="23" spans="1:27" s="14" customFormat="1" ht="57" customHeight="1" x14ac:dyDescent="0.2">
      <c r="A23" s="16">
        <f t="shared" si="1"/>
        <v>22</v>
      </c>
      <c r="B23" s="19">
        <v>2007</v>
      </c>
      <c r="C23" s="20" t="s">
        <v>417</v>
      </c>
      <c r="D23" s="20" t="s">
        <v>414</v>
      </c>
      <c r="E23" s="20" t="s">
        <v>416</v>
      </c>
      <c r="F23" s="21" t="s">
        <v>274</v>
      </c>
      <c r="G23" s="19" t="s">
        <v>413</v>
      </c>
      <c r="H23" s="20" t="s">
        <v>357</v>
      </c>
      <c r="I23" s="21"/>
      <c r="J23" s="19" t="s">
        <v>411</v>
      </c>
      <c r="K23" s="20" t="s">
        <v>20</v>
      </c>
      <c r="L23" s="20" t="s">
        <v>389</v>
      </c>
      <c r="M23" s="20" t="s">
        <v>412</v>
      </c>
      <c r="N23" s="20" t="s">
        <v>415</v>
      </c>
      <c r="O23" s="21" t="s">
        <v>360</v>
      </c>
      <c r="P23" s="27" t="s">
        <v>409</v>
      </c>
      <c r="Q23" s="27" t="s">
        <v>408</v>
      </c>
      <c r="R23" s="30"/>
      <c r="S23" s="30" t="s">
        <v>410</v>
      </c>
      <c r="T23" s="30" t="s">
        <v>366</v>
      </c>
      <c r="U23" s="30"/>
      <c r="V23" s="30"/>
      <c r="W23" s="30"/>
      <c r="X23" s="18"/>
      <c r="Y23" s="18"/>
      <c r="Z23" s="14" t="str">
        <f t="shared" si="0"/>
        <v>22 &amp; 2007 &amp; Chiddingstone Orangery &amp; Roofing &amp; Kent &amp; England &amp; P. Hulbert &amp; Happold &amp;  &amp; \\</v>
      </c>
      <c r="AA23" s="15"/>
    </row>
    <row r="24" spans="1:27" s="82" customFormat="1" ht="57" customHeight="1" x14ac:dyDescent="0.2">
      <c r="A24" s="75">
        <f t="shared" si="1"/>
        <v>23</v>
      </c>
      <c r="B24" s="76">
        <v>2007</v>
      </c>
      <c r="C24" s="77" t="s">
        <v>9</v>
      </c>
      <c r="D24" s="77" t="s">
        <v>253</v>
      </c>
      <c r="E24" s="77" t="s">
        <v>418</v>
      </c>
      <c r="F24" s="78" t="s">
        <v>419</v>
      </c>
      <c r="G24" s="76" t="s">
        <v>5</v>
      </c>
      <c r="H24" s="77" t="s">
        <v>5</v>
      </c>
      <c r="I24" s="78"/>
      <c r="J24" s="76" t="s">
        <v>420</v>
      </c>
      <c r="K24" s="77" t="s">
        <v>57</v>
      </c>
      <c r="L24" s="77" t="s">
        <v>421</v>
      </c>
      <c r="M24" s="77" t="s">
        <v>60</v>
      </c>
      <c r="N24" s="77" t="s">
        <v>243</v>
      </c>
      <c r="O24" s="78" t="s">
        <v>268</v>
      </c>
      <c r="P24" s="79" t="s">
        <v>434</v>
      </c>
      <c r="Q24" s="79" t="s">
        <v>433</v>
      </c>
      <c r="R24" s="80"/>
      <c r="S24" s="80" t="s">
        <v>422</v>
      </c>
      <c r="T24" s="80" t="s">
        <v>366</v>
      </c>
      <c r="U24" s="80" t="s">
        <v>435</v>
      </c>
      <c r="V24" s="80" t="s">
        <v>432</v>
      </c>
      <c r="W24" s="80"/>
      <c r="X24" s="81" t="s">
        <v>436</v>
      </c>
      <c r="Y24" s="81"/>
      <c r="Z24" s="82" t="str">
        <f t="shared" si="0"/>
        <v>23 &amp; 2007 &amp; ENPC &amp; Experiment &amp; Noisy-Champs &amp; France &amp; Navier &amp; Navier &amp;  &amp; \cite{Douthe2006}\\</v>
      </c>
      <c r="AA24" s="83"/>
    </row>
    <row r="25" spans="1:27" s="82" customFormat="1" ht="57" customHeight="1" x14ac:dyDescent="0.2">
      <c r="A25" s="75">
        <f t="shared" si="1"/>
        <v>24</v>
      </c>
      <c r="B25" s="76">
        <v>2011</v>
      </c>
      <c r="C25" s="77" t="s">
        <v>6</v>
      </c>
      <c r="D25" s="77" t="s">
        <v>223</v>
      </c>
      <c r="E25" s="77" t="s">
        <v>424</v>
      </c>
      <c r="F25" s="78" t="s">
        <v>419</v>
      </c>
      <c r="G25" s="76" t="s">
        <v>9</v>
      </c>
      <c r="H25" s="77" t="s">
        <v>423</v>
      </c>
      <c r="I25" s="78"/>
      <c r="J25" s="76" t="s">
        <v>420</v>
      </c>
      <c r="K25" s="77" t="s">
        <v>57</v>
      </c>
      <c r="L25" s="77" t="s">
        <v>421</v>
      </c>
      <c r="M25" s="77" t="s">
        <v>60</v>
      </c>
      <c r="N25" s="77" t="s">
        <v>243</v>
      </c>
      <c r="O25" s="78" t="s">
        <v>361</v>
      </c>
      <c r="P25" s="79" t="s">
        <v>490</v>
      </c>
      <c r="Q25" s="79" t="s">
        <v>292</v>
      </c>
      <c r="R25" s="80" t="s">
        <v>316</v>
      </c>
      <c r="S25" s="80" t="s">
        <v>422</v>
      </c>
      <c r="T25" s="80" t="s">
        <v>366</v>
      </c>
      <c r="U25" s="80"/>
      <c r="V25" s="80"/>
      <c r="W25" s="80"/>
      <c r="X25" s="81" t="s">
        <v>431</v>
      </c>
      <c r="Y25" s="81"/>
      <c r="Z25" s="82" t="str">
        <f t="shared" si="0"/>
        <v>24 &amp; 2011 &amp; Solidays &amp; Pavilion &amp; Paris &amp; France &amp; ENPC &amp; Navier + T/E/S/S &amp;  &amp; \cite{Baverel2012}\\</v>
      </c>
      <c r="AA25" s="83"/>
    </row>
    <row r="26" spans="1:27" s="73" customFormat="1" ht="57" customHeight="1" x14ac:dyDescent="0.2">
      <c r="A26" s="66">
        <f t="shared" si="1"/>
        <v>25</v>
      </c>
      <c r="B26" s="67">
        <v>2012</v>
      </c>
      <c r="C26" s="68" t="s">
        <v>445</v>
      </c>
      <c r="D26" s="68" t="s">
        <v>218</v>
      </c>
      <c r="E26" s="68" t="s">
        <v>447</v>
      </c>
      <c r="F26" s="69" t="s">
        <v>446</v>
      </c>
      <c r="G26" s="67" t="s">
        <v>450</v>
      </c>
      <c r="H26" s="68" t="s">
        <v>449</v>
      </c>
      <c r="I26" s="69"/>
      <c r="J26" s="67" t="s">
        <v>162</v>
      </c>
      <c r="K26" s="68" t="s">
        <v>20</v>
      </c>
      <c r="L26" s="68" t="s">
        <v>231</v>
      </c>
      <c r="M26" s="68" t="s">
        <v>60</v>
      </c>
      <c r="N26" s="68" t="s">
        <v>396</v>
      </c>
      <c r="O26" s="69" t="s">
        <v>268</v>
      </c>
      <c r="P26" s="70" t="s">
        <v>453</v>
      </c>
      <c r="Q26" s="70" t="s">
        <v>459</v>
      </c>
      <c r="R26" s="71"/>
      <c r="S26" s="71"/>
      <c r="T26" s="71" t="s">
        <v>242</v>
      </c>
      <c r="U26" s="71" t="s">
        <v>455</v>
      </c>
      <c r="V26" s="71" t="s">
        <v>454</v>
      </c>
      <c r="W26" s="71"/>
      <c r="X26" s="72" t="s">
        <v>451</v>
      </c>
      <c r="Y26" s="72"/>
      <c r="Z26" s="73" t="str">
        <f t="shared" si="0"/>
        <v>25 &amp; 2012 &amp; Toledo &amp; Workshop &amp; Naples &amp; Italy &amp; gridshell.it &amp; B. D'Amico &amp;  &amp; \cite{DAmico2014}\\</v>
      </c>
      <c r="AA26" s="74"/>
    </row>
    <row r="27" spans="1:27" s="82" customFormat="1" ht="57" customHeight="1" x14ac:dyDescent="0.2">
      <c r="A27" s="75">
        <f t="shared" si="1"/>
        <v>26</v>
      </c>
      <c r="B27" s="76">
        <v>2013</v>
      </c>
      <c r="C27" s="77" t="s">
        <v>427</v>
      </c>
      <c r="D27" s="77" t="s">
        <v>272</v>
      </c>
      <c r="E27" s="77" t="s">
        <v>427</v>
      </c>
      <c r="F27" s="78" t="s">
        <v>419</v>
      </c>
      <c r="G27" s="76" t="s">
        <v>428</v>
      </c>
      <c r="H27" s="77" t="s">
        <v>429</v>
      </c>
      <c r="I27" s="78"/>
      <c r="J27" s="76" t="s">
        <v>420</v>
      </c>
      <c r="K27" s="77" t="s">
        <v>57</v>
      </c>
      <c r="L27" s="77" t="s">
        <v>421</v>
      </c>
      <c r="M27" s="77" t="s">
        <v>60</v>
      </c>
      <c r="N27" s="77" t="s">
        <v>243</v>
      </c>
      <c r="O27" s="78" t="s">
        <v>361</v>
      </c>
      <c r="P27" s="79" t="s">
        <v>425</v>
      </c>
      <c r="Q27" s="79" t="s">
        <v>239</v>
      </c>
      <c r="R27" s="80" t="s">
        <v>256</v>
      </c>
      <c r="S27" s="80" t="s">
        <v>422</v>
      </c>
      <c r="T27" s="80" t="s">
        <v>366</v>
      </c>
      <c r="U27" s="80"/>
      <c r="V27" s="80"/>
      <c r="W27" s="80"/>
      <c r="X27" s="81" t="s">
        <v>430</v>
      </c>
      <c r="Y27" s="81"/>
      <c r="Z27" s="82" t="str">
        <f t="shared" si="0"/>
        <v>26 &amp; 2013 &amp; Créteil &amp; Building &amp; Créteil &amp; France &amp; T/E/S/S &amp; T/E/S/S + Navier &amp;  &amp; \cite{DuPeloux2016}\\</v>
      </c>
      <c r="AA27" s="83"/>
    </row>
    <row r="28" spans="1:27" s="82" customFormat="1" ht="57" customHeight="1" x14ac:dyDescent="0.2">
      <c r="A28" s="75">
        <f t="shared" si="1"/>
        <v>27</v>
      </c>
      <c r="B28" s="76">
        <v>2013</v>
      </c>
      <c r="C28" s="77" t="s">
        <v>466</v>
      </c>
      <c r="D28" s="77" t="s">
        <v>218</v>
      </c>
      <c r="E28" s="77" t="s">
        <v>467</v>
      </c>
      <c r="F28" s="78" t="s">
        <v>468</v>
      </c>
      <c r="G28" s="76" t="s">
        <v>133</v>
      </c>
      <c r="H28" s="77"/>
      <c r="I28" s="78"/>
      <c r="J28" s="76" t="s">
        <v>395</v>
      </c>
      <c r="K28" s="77" t="s">
        <v>20</v>
      </c>
      <c r="L28" s="77" t="s">
        <v>231</v>
      </c>
      <c r="M28" s="77" t="s">
        <v>60</v>
      </c>
      <c r="N28" s="77"/>
      <c r="O28" s="78" t="s">
        <v>268</v>
      </c>
      <c r="P28" s="79" t="s">
        <v>469</v>
      </c>
      <c r="Q28" s="79" t="s">
        <v>433</v>
      </c>
      <c r="R28" s="80" t="s">
        <v>240</v>
      </c>
      <c r="S28" s="80" t="s">
        <v>470</v>
      </c>
      <c r="T28" s="80" t="s">
        <v>195</v>
      </c>
      <c r="U28" s="80"/>
      <c r="V28" s="80"/>
      <c r="W28" s="80"/>
      <c r="X28" s="81"/>
      <c r="Y28" s="81"/>
      <c r="AA28" s="83"/>
    </row>
    <row r="29" spans="1:27" s="82" customFormat="1" ht="57" customHeight="1" x14ac:dyDescent="0.2">
      <c r="A29" s="75">
        <f t="shared" si="1"/>
        <v>28</v>
      </c>
      <c r="B29" s="76">
        <v>2014</v>
      </c>
      <c r="C29" s="77" t="s">
        <v>476</v>
      </c>
      <c r="D29" s="77" t="s">
        <v>218</v>
      </c>
      <c r="E29" s="77" t="s">
        <v>472</v>
      </c>
      <c r="F29" s="78" t="s">
        <v>220</v>
      </c>
      <c r="G29" s="76" t="s">
        <v>133</v>
      </c>
      <c r="H29" s="77" t="s">
        <v>471</v>
      </c>
      <c r="I29" s="78"/>
      <c r="J29" s="76"/>
      <c r="K29" s="77" t="s">
        <v>20</v>
      </c>
      <c r="L29" s="77" t="s">
        <v>231</v>
      </c>
      <c r="M29" s="77" t="s">
        <v>60</v>
      </c>
      <c r="N29" s="77" t="s">
        <v>475</v>
      </c>
      <c r="O29" s="78" t="s">
        <v>268</v>
      </c>
      <c r="P29" s="79" t="s">
        <v>479</v>
      </c>
      <c r="Q29" s="79" t="s">
        <v>478</v>
      </c>
      <c r="R29" s="80" t="s">
        <v>477</v>
      </c>
      <c r="S29" s="80"/>
      <c r="T29" s="80"/>
      <c r="U29" s="80"/>
      <c r="V29" s="80"/>
      <c r="W29" s="80"/>
      <c r="X29" s="81"/>
      <c r="Y29" s="81" t="s">
        <v>474</v>
      </c>
      <c r="AA29" s="83"/>
    </row>
    <row r="30" spans="1:27" s="73" customFormat="1" ht="57" customHeight="1" x14ac:dyDescent="0.2">
      <c r="A30" s="66">
        <f t="shared" si="1"/>
        <v>29</v>
      </c>
      <c r="B30" s="67">
        <v>2014</v>
      </c>
      <c r="C30" s="68" t="s">
        <v>448</v>
      </c>
      <c r="D30" s="68" t="s">
        <v>218</v>
      </c>
      <c r="E30" s="68" t="s">
        <v>447</v>
      </c>
      <c r="F30" s="69" t="s">
        <v>446</v>
      </c>
      <c r="G30" s="67" t="s">
        <v>450</v>
      </c>
      <c r="H30" s="68" t="s">
        <v>449</v>
      </c>
      <c r="I30" s="69"/>
      <c r="J30" s="67" t="s">
        <v>395</v>
      </c>
      <c r="K30" s="68" t="s">
        <v>20</v>
      </c>
      <c r="L30" s="68" t="s">
        <v>458</v>
      </c>
      <c r="M30" s="68" t="s">
        <v>60</v>
      </c>
      <c r="N30" s="68"/>
      <c r="O30" s="69" t="s">
        <v>361</v>
      </c>
      <c r="P30" s="70" t="s">
        <v>303</v>
      </c>
      <c r="Q30" s="70" t="s">
        <v>456</v>
      </c>
      <c r="R30" s="71"/>
      <c r="S30" s="71" t="s">
        <v>457</v>
      </c>
      <c r="T30" s="71" t="s">
        <v>242</v>
      </c>
      <c r="U30" s="71"/>
      <c r="V30" s="71"/>
      <c r="W30" s="71"/>
      <c r="X30" s="72" t="s">
        <v>452</v>
      </c>
      <c r="Y30" s="72"/>
      <c r="Z30" s="73" t="str">
        <f t="shared" si="0"/>
        <v>29 &amp; 2014 &amp; Toledo 2.0 &amp; Workshop &amp; Naples &amp; Italy &amp; gridshell.it &amp; B. D'Amico &amp;  &amp; \cite{DAmico2015a}\\</v>
      </c>
      <c r="AA30" s="74"/>
    </row>
    <row r="31" spans="1:27" s="73" customFormat="1" ht="57" customHeight="1" x14ac:dyDescent="0.2">
      <c r="A31" s="66">
        <f t="shared" si="1"/>
        <v>30</v>
      </c>
      <c r="B31" s="67">
        <v>2015</v>
      </c>
      <c r="C31" s="68" t="s">
        <v>480</v>
      </c>
      <c r="D31" s="68" t="s">
        <v>253</v>
      </c>
      <c r="E31" s="68" t="s">
        <v>418</v>
      </c>
      <c r="F31" s="69" t="s">
        <v>419</v>
      </c>
      <c r="G31" s="67" t="s">
        <v>5</v>
      </c>
      <c r="H31" s="68" t="s">
        <v>5</v>
      </c>
      <c r="I31" s="69"/>
      <c r="J31" s="67" t="s">
        <v>420</v>
      </c>
      <c r="K31" s="68" t="s">
        <v>57</v>
      </c>
      <c r="L31" s="68" t="s">
        <v>481</v>
      </c>
      <c r="M31" s="68" t="s">
        <v>482</v>
      </c>
      <c r="N31" s="68" t="s">
        <v>483</v>
      </c>
      <c r="O31" s="69" t="s">
        <v>268</v>
      </c>
      <c r="P31" s="70" t="s">
        <v>426</v>
      </c>
      <c r="Q31" s="70" t="s">
        <v>484</v>
      </c>
      <c r="R31" s="71"/>
      <c r="S31" s="71" t="s">
        <v>485</v>
      </c>
      <c r="T31" s="71" t="s">
        <v>179</v>
      </c>
      <c r="U31" s="71"/>
      <c r="V31" s="71"/>
      <c r="W31" s="71"/>
      <c r="X31" s="72" t="s">
        <v>486</v>
      </c>
      <c r="Y31" s="72"/>
      <c r="AA31" s="74"/>
    </row>
    <row r="32" spans="1:27" s="82" customFormat="1" ht="57" customHeight="1" x14ac:dyDescent="0.2">
      <c r="A32" s="75">
        <f t="shared" si="1"/>
        <v>31</v>
      </c>
      <c r="B32" s="76">
        <v>2016</v>
      </c>
      <c r="C32" s="77" t="s">
        <v>437</v>
      </c>
      <c r="D32" s="77" t="s">
        <v>223</v>
      </c>
      <c r="E32" s="77" t="s">
        <v>7</v>
      </c>
      <c r="F32" s="78" t="s">
        <v>419</v>
      </c>
      <c r="G32" s="76" t="s">
        <v>438</v>
      </c>
      <c r="H32" s="77" t="s">
        <v>439</v>
      </c>
      <c r="I32" s="78"/>
      <c r="J32" s="76" t="s">
        <v>341</v>
      </c>
      <c r="K32" s="77" t="s">
        <v>20</v>
      </c>
      <c r="L32" s="77" t="s">
        <v>231</v>
      </c>
      <c r="M32" s="77" t="s">
        <v>440</v>
      </c>
      <c r="N32" s="77" t="s">
        <v>243</v>
      </c>
      <c r="O32" s="78" t="s">
        <v>268</v>
      </c>
      <c r="P32" s="79" t="s">
        <v>409</v>
      </c>
      <c r="Q32" s="79" t="s">
        <v>316</v>
      </c>
      <c r="R32" s="80"/>
      <c r="S32" s="80" t="s">
        <v>441</v>
      </c>
      <c r="T32" s="80" t="s">
        <v>399</v>
      </c>
      <c r="U32" s="80"/>
      <c r="V32" s="80"/>
      <c r="W32" s="80"/>
      <c r="X32" s="81"/>
      <c r="Y32" s="81"/>
      <c r="Z32" s="82" t="str">
        <f t="shared" ref="Z32" si="2">CONCATENATE(A32," &amp; ",B32," &amp; ",C32," &amp; ",D32," &amp; ",E32," &amp; ",F32," &amp; ",G32," &amp; ",H32," &amp; ",W32," &amp; ",X32,"\\")</f>
        <v>31 &amp; 2016 &amp; JPO &amp; Pavilion &amp; Toulouse &amp; France &amp; Quaternion &amp; Navier + Terrell &amp;  &amp; \\</v>
      </c>
      <c r="AA32" s="83"/>
    </row>
    <row r="33" spans="1:27" s="82" customFormat="1" ht="57" customHeight="1" x14ac:dyDescent="0.2">
      <c r="A33" s="75">
        <f t="shared" si="1"/>
        <v>32</v>
      </c>
      <c r="B33" s="76">
        <v>2016</v>
      </c>
      <c r="C33" s="77" t="s">
        <v>442</v>
      </c>
      <c r="D33" s="77" t="s">
        <v>223</v>
      </c>
      <c r="E33" s="77" t="s">
        <v>8</v>
      </c>
      <c r="F33" s="78" t="s">
        <v>419</v>
      </c>
      <c r="G33" s="76" t="s">
        <v>438</v>
      </c>
      <c r="H33" s="77" t="s">
        <v>439</v>
      </c>
      <c r="I33" s="78"/>
      <c r="J33" s="76" t="s">
        <v>341</v>
      </c>
      <c r="K33" s="77" t="s">
        <v>20</v>
      </c>
      <c r="L33" s="77" t="s">
        <v>231</v>
      </c>
      <c r="M33" s="77" t="s">
        <v>440</v>
      </c>
      <c r="N33" s="77"/>
      <c r="O33" s="78" t="s">
        <v>268</v>
      </c>
      <c r="P33" s="79" t="s">
        <v>409</v>
      </c>
      <c r="Q33" s="79" t="s">
        <v>316</v>
      </c>
      <c r="R33" s="80"/>
      <c r="S33" s="80" t="s">
        <v>441</v>
      </c>
      <c r="T33" s="80" t="s">
        <v>399</v>
      </c>
      <c r="U33" s="80"/>
      <c r="V33" s="80"/>
      <c r="W33" s="80"/>
      <c r="X33" s="81"/>
      <c r="Y33" s="81"/>
      <c r="Z33" s="82" t="str">
        <f t="shared" ref="Z33" si="3">CONCATENATE(A33," &amp; ",B33," &amp; ",C33," &amp; ",D33," &amp; ",E33," &amp; ",F33," &amp; ",G33," &amp; ",H33," &amp; ",W33," &amp; ",X33,"\\")</f>
        <v>32 &amp; 2016 &amp; FAV &amp; Pavilion &amp; Montpellier &amp; France &amp; Quaternion &amp; Navier + Terrell &amp;  &amp; \\</v>
      </c>
      <c r="AA33" s="83"/>
    </row>
    <row r="34" spans="1:27" s="82" customFormat="1" ht="57" customHeight="1" x14ac:dyDescent="0.2">
      <c r="A34" s="75">
        <f t="shared" si="1"/>
        <v>33</v>
      </c>
      <c r="B34" s="76">
        <v>2016</v>
      </c>
      <c r="C34" s="77" t="s">
        <v>443</v>
      </c>
      <c r="D34" s="77" t="s">
        <v>218</v>
      </c>
      <c r="E34" s="77" t="s">
        <v>418</v>
      </c>
      <c r="F34" s="78" t="s">
        <v>419</v>
      </c>
      <c r="G34" s="76" t="s">
        <v>9</v>
      </c>
      <c r="H34" s="77" t="s">
        <v>5</v>
      </c>
      <c r="I34" s="78"/>
      <c r="J34" s="76" t="s">
        <v>341</v>
      </c>
      <c r="K34" s="77" t="s">
        <v>20</v>
      </c>
      <c r="L34" s="77" t="s">
        <v>231</v>
      </c>
      <c r="M34" s="77" t="s">
        <v>440</v>
      </c>
      <c r="N34" s="77" t="s">
        <v>444</v>
      </c>
      <c r="O34" s="78" t="s">
        <v>268</v>
      </c>
      <c r="P34" s="79" t="s">
        <v>409</v>
      </c>
      <c r="Q34" s="79" t="s">
        <v>316</v>
      </c>
      <c r="R34" s="80"/>
      <c r="S34" s="80" t="s">
        <v>441</v>
      </c>
      <c r="T34" s="80" t="s">
        <v>399</v>
      </c>
      <c r="U34" s="80"/>
      <c r="V34" s="80"/>
      <c r="W34" s="80"/>
      <c r="X34" s="81"/>
      <c r="Y34" s="81"/>
      <c r="Z34" s="82" t="str">
        <f t="shared" ref="Z34" si="4">CONCATENATE(A34," &amp; ",B34," &amp; ",C34," &amp; ",D34," &amp; ",E34," &amp; ",F34," &amp; ",G34," &amp; ",H34," &amp; ",W34," &amp; ",X34,"\\")</f>
        <v>33 &amp; 2016 &amp; CLC &amp; Workshop &amp; Noisy-Champs &amp; France &amp; ENPC &amp; Navier &amp;  &amp; \\</v>
      </c>
      <c r="AA34" s="83"/>
    </row>
    <row r="35" spans="1:27" s="14" customFormat="1" ht="57" customHeight="1" x14ac:dyDescent="0.2">
      <c r="A35" s="16">
        <f t="shared" si="1"/>
        <v>34</v>
      </c>
      <c r="B35" s="19">
        <v>2016</v>
      </c>
      <c r="C35" s="20" t="s">
        <v>460</v>
      </c>
      <c r="D35" s="20" t="s">
        <v>218</v>
      </c>
      <c r="E35" s="20" t="s">
        <v>460</v>
      </c>
      <c r="F35" s="21" t="s">
        <v>461</v>
      </c>
      <c r="G35" s="19" t="s">
        <v>133</v>
      </c>
      <c r="H35" s="20" t="s">
        <v>465</v>
      </c>
      <c r="I35" s="21"/>
      <c r="J35" s="19" t="s">
        <v>464</v>
      </c>
      <c r="K35" s="20" t="s">
        <v>20</v>
      </c>
      <c r="L35" s="20" t="s">
        <v>231</v>
      </c>
      <c r="M35" s="20" t="s">
        <v>60</v>
      </c>
      <c r="N35" s="20"/>
      <c r="O35" s="21" t="s">
        <v>269</v>
      </c>
      <c r="P35" s="27" t="s">
        <v>303</v>
      </c>
      <c r="Q35" s="27" t="s">
        <v>456</v>
      </c>
      <c r="R35" s="30"/>
      <c r="S35" s="30" t="s">
        <v>463</v>
      </c>
      <c r="T35" s="30" t="s">
        <v>242</v>
      </c>
      <c r="U35" s="30"/>
      <c r="V35" s="30"/>
      <c r="W35" s="30"/>
      <c r="X35" s="18" t="s">
        <v>462</v>
      </c>
      <c r="Y35" s="18"/>
      <c r="Z35" s="14" t="str">
        <f t="shared" si="0"/>
        <v>34 &amp; 2016 &amp; Trondheim &amp; Workshop &amp; Trondheim &amp; Norway &amp; Students &amp; NTNU &amp;  &amp; \cite{Mork2016}\\</v>
      </c>
      <c r="AA35" s="15"/>
    </row>
    <row r="36" spans="1:27" s="14" customFormat="1" ht="57" customHeight="1" x14ac:dyDescent="0.2">
      <c r="A36" s="16">
        <f t="shared" si="1"/>
        <v>35</v>
      </c>
      <c r="B36" s="19"/>
      <c r="C36" s="20"/>
      <c r="D36" s="20"/>
      <c r="E36" s="20"/>
      <c r="F36" s="21"/>
      <c r="G36" s="19"/>
      <c r="H36" s="20"/>
      <c r="I36" s="21"/>
      <c r="J36" s="19"/>
      <c r="K36" s="20"/>
      <c r="L36" s="20"/>
      <c r="M36" s="20"/>
      <c r="N36" s="20"/>
      <c r="O36" s="21"/>
      <c r="P36" s="27"/>
      <c r="Q36" s="27"/>
      <c r="R36" s="30"/>
      <c r="S36" s="30"/>
      <c r="T36" s="30"/>
      <c r="U36" s="30"/>
      <c r="V36" s="30"/>
      <c r="W36" s="30"/>
      <c r="X36" s="18"/>
      <c r="Y36" s="18"/>
      <c r="Z36" s="14" t="str">
        <f t="shared" si="0"/>
        <v>35 &amp;  &amp;  &amp;  &amp;  &amp;  &amp;  &amp;  &amp;  &amp; \\</v>
      </c>
      <c r="AA36" s="15"/>
    </row>
    <row r="37" spans="1:27" s="14" customFormat="1" ht="57" customHeight="1" x14ac:dyDescent="0.2">
      <c r="A37" s="16">
        <f t="shared" si="1"/>
        <v>36</v>
      </c>
      <c r="B37" s="19"/>
      <c r="C37" s="20"/>
      <c r="D37" s="20"/>
      <c r="E37" s="20"/>
      <c r="F37" s="21"/>
      <c r="G37" s="19"/>
      <c r="H37" s="20"/>
      <c r="I37" s="21"/>
      <c r="J37" s="19"/>
      <c r="K37" s="20"/>
      <c r="L37" s="20"/>
      <c r="M37" s="20"/>
      <c r="N37" s="20"/>
      <c r="O37" s="21"/>
      <c r="P37" s="27"/>
      <c r="Q37" s="27"/>
      <c r="R37" s="30"/>
      <c r="S37" s="30"/>
      <c r="T37" s="30"/>
      <c r="U37" s="30"/>
      <c r="V37" s="30"/>
      <c r="W37" s="30"/>
      <c r="X37" s="18"/>
      <c r="Y37" s="18"/>
      <c r="Z37" s="14" t="str">
        <f t="shared" si="0"/>
        <v>36 &amp;  &amp;  &amp;  &amp;  &amp;  &amp;  &amp;  &amp;  &amp; \\</v>
      </c>
      <c r="AA37" s="15"/>
    </row>
    <row r="38" spans="1:27" s="14" customFormat="1" ht="57" customHeight="1" thickBot="1" x14ac:dyDescent="0.25">
      <c r="A38" s="17">
        <f t="shared" si="1"/>
        <v>37</v>
      </c>
      <c r="B38" s="22"/>
      <c r="C38" s="23"/>
      <c r="D38" s="23"/>
      <c r="E38" s="23"/>
      <c r="F38" s="24"/>
      <c r="G38" s="22"/>
      <c r="H38" s="23"/>
      <c r="I38" s="24"/>
      <c r="J38" s="22"/>
      <c r="K38" s="23"/>
      <c r="L38" s="23"/>
      <c r="M38" s="23"/>
      <c r="N38" s="23"/>
      <c r="O38" s="24"/>
      <c r="P38" s="28"/>
      <c r="Q38" s="28"/>
      <c r="R38" s="31"/>
      <c r="S38" s="31"/>
      <c r="T38" s="31"/>
      <c r="U38" s="31"/>
      <c r="V38" s="31"/>
      <c r="W38" s="31"/>
      <c r="X38" s="25"/>
      <c r="Y38" s="25"/>
      <c r="Z38" s="14" t="str">
        <f t="shared" si="0"/>
        <v>37 &amp;  &amp;  &amp;  &amp;  &amp;  &amp;  &amp;  &amp;  &amp; \\</v>
      </c>
      <c r="AA38" s="15"/>
    </row>
    <row r="39" spans="1:27" x14ac:dyDescent="0.2">
      <c r="Z39" s="14" t="str">
        <f t="shared" si="0"/>
        <v xml:space="preserve"> &amp;  &amp;  &amp;  &amp;  &amp;  &amp;  &amp;  &amp;  &amp; \\</v>
      </c>
    </row>
    <row r="40" spans="1:27" x14ac:dyDescent="0.2">
      <c r="Z40" s="14" t="str">
        <f t="shared" si="0"/>
        <v xml:space="preserve"> &amp;  &amp;  &amp;  &amp;  &amp;  &amp;  &amp;  &amp;  &amp; \\</v>
      </c>
    </row>
    <row r="41" spans="1:27" x14ac:dyDescent="0.2">
      <c r="Z41" s="14" t="str">
        <f t="shared" si="0"/>
        <v xml:space="preserve"> &amp;  &amp;  &amp;  &amp;  &amp;  &amp;  &amp;  &amp;  &amp; \\</v>
      </c>
    </row>
    <row r="42" spans="1:27" x14ac:dyDescent="0.2">
      <c r="Z42" s="14" t="str">
        <f t="shared" si="0"/>
        <v xml:space="preserve"> &amp;  &amp;  &amp;  &amp;  &amp;  &amp;  &amp;  &amp;  &amp; \\</v>
      </c>
    </row>
    <row r="43" spans="1:27" x14ac:dyDescent="0.2">
      <c r="Z43" s="14" t="str">
        <f t="shared" si="0"/>
        <v xml:space="preserve"> &amp;  &amp;  &amp;  &amp;  &amp;  &amp;  &amp;  &amp;  &amp; \\</v>
      </c>
    </row>
    <row r="44" spans="1:27" x14ac:dyDescent="0.2">
      <c r="Z44" s="14" t="str">
        <f t="shared" si="0"/>
        <v xml:space="preserve"> &amp;  &amp;  &amp;  &amp;  &amp;  &amp;  &amp;  &amp;  &amp; \\</v>
      </c>
    </row>
    <row r="45" spans="1:27" x14ac:dyDescent="0.2">
      <c r="Z45" s="14" t="str">
        <f t="shared" si="0"/>
        <v xml:space="preserve"> &amp;  &amp;  &amp;  &amp;  &amp;  &amp;  &amp;  &amp;  &amp; \\</v>
      </c>
    </row>
    <row r="46" spans="1:27" x14ac:dyDescent="0.2">
      <c r="Z46" s="14" t="str">
        <f t="shared" si="0"/>
        <v xml:space="preserve"> &amp;  &amp;  &amp;  &amp;  &amp;  &amp;  &amp;  &amp;  &amp; \\</v>
      </c>
    </row>
    <row r="47" spans="1:27" x14ac:dyDescent="0.2">
      <c r="Z47" s="14" t="str">
        <f t="shared" si="0"/>
        <v xml:space="preserve"> &amp;  &amp;  &amp;  &amp;  &amp;  &amp;  &amp;  &amp;  &amp; \\</v>
      </c>
    </row>
    <row r="48" spans="1:27" x14ac:dyDescent="0.2">
      <c r="Z48" s="14" t="str">
        <f t="shared" si="0"/>
        <v xml:space="preserve"> &amp;  &amp;  &amp;  &amp;  &amp;  &amp;  &amp;  &amp;  &amp; \\</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9"/>
  <sheetViews>
    <sheetView workbookViewId="0">
      <selection activeCell="F9" sqref="F9"/>
    </sheetView>
  </sheetViews>
  <sheetFormatPr baseColWidth="10" defaultRowHeight="16" x14ac:dyDescent="0.2"/>
  <sheetData>
    <row r="1" spans="1:4" x14ac:dyDescent="0.2">
      <c r="A1" t="s">
        <v>208</v>
      </c>
      <c r="B1" t="s">
        <v>209</v>
      </c>
      <c r="C1" t="s">
        <v>214</v>
      </c>
      <c r="D1" t="s">
        <v>215</v>
      </c>
    </row>
    <row r="2" spans="1:4" x14ac:dyDescent="0.2">
      <c r="A2">
        <f>Feuil1!A2</f>
        <v>1</v>
      </c>
      <c r="B2">
        <f>Feuil1!B2</f>
        <v>1962</v>
      </c>
      <c r="C2" s="2" t="str">
        <f>Feuil1!Q2</f>
        <v>7.8</v>
      </c>
      <c r="D2" s="2">
        <f>Feuil1!P2</f>
        <v>52</v>
      </c>
    </row>
    <row r="3" spans="1:4" x14ac:dyDescent="0.2">
      <c r="A3">
        <f>Feuil1!A3</f>
        <v>2</v>
      </c>
      <c r="B3">
        <f>Feuil1!B3</f>
        <v>1962</v>
      </c>
      <c r="C3" s="2" t="str">
        <f>Feuil1!Q3</f>
        <v>16.8</v>
      </c>
      <c r="D3" s="2">
        <f>Feuil1!P3</f>
        <v>198</v>
      </c>
    </row>
    <row r="4" spans="1:4" x14ac:dyDescent="0.2">
      <c r="A4">
        <f>Feuil1!A4</f>
        <v>3</v>
      </c>
      <c r="B4">
        <f>Feuil1!B4</f>
        <v>1967</v>
      </c>
      <c r="C4" s="2" t="str">
        <f>Feuil1!Q4</f>
        <v>17.5</v>
      </c>
      <c r="D4" s="2" t="str">
        <f>Feuil1!P4</f>
        <v>365</v>
      </c>
    </row>
    <row r="5" spans="1:4" x14ac:dyDescent="0.2">
      <c r="A5">
        <f>Feuil1!A5</f>
        <v>4</v>
      </c>
      <c r="B5">
        <f>Feuil1!B5</f>
        <v>1973</v>
      </c>
      <c r="C5" s="2" t="str">
        <f>Feuil1!Q5</f>
        <v>8.5</v>
      </c>
      <c r="D5" s="2" t="str">
        <f>Feuil1!P5</f>
        <v>72</v>
      </c>
    </row>
    <row r="6" spans="1:4" x14ac:dyDescent="0.2">
      <c r="A6">
        <f>Feuil1!A6</f>
        <v>5</v>
      </c>
      <c r="B6">
        <f>Feuil1!B6</f>
        <v>1974</v>
      </c>
      <c r="C6" s="2" t="str">
        <f>Feuil1!Q6</f>
        <v>15.0</v>
      </c>
      <c r="D6" s="2" t="str">
        <f>Feuil1!P6</f>
        <v>225</v>
      </c>
    </row>
    <row r="7" spans="1:4" x14ac:dyDescent="0.2">
      <c r="A7">
        <f>Feuil1!A7</f>
        <v>6</v>
      </c>
      <c r="B7">
        <f>Feuil1!B7</f>
        <v>1974</v>
      </c>
      <c r="C7" s="2" t="str">
        <f>Feuil1!Q7</f>
        <v>6.0</v>
      </c>
      <c r="D7" s="2" t="str">
        <f>Feuil1!P7</f>
        <v>82</v>
      </c>
    </row>
    <row r="8" spans="1:4" x14ac:dyDescent="0.2">
      <c r="A8">
        <f>Feuil1!A8</f>
        <v>7</v>
      </c>
      <c r="B8">
        <f>Feuil1!B8</f>
        <v>1975</v>
      </c>
      <c r="C8" s="2" t="str">
        <f>Feuil1!Q8</f>
        <v>60.0</v>
      </c>
      <c r="D8" s="2" t="str">
        <f>Feuil1!P8</f>
        <v>7400</v>
      </c>
    </row>
    <row r="9" spans="1:4" x14ac:dyDescent="0.2">
      <c r="A9">
        <f>Feuil1!A9</f>
        <v>8</v>
      </c>
      <c r="B9">
        <f>Feuil1!B9</f>
        <v>1973</v>
      </c>
      <c r="C9" s="2" t="str">
        <f>Feuil1!Q9</f>
        <v>8.0</v>
      </c>
      <c r="D9" s="2" t="str">
        <f>Feuil1!P9</f>
        <v>80</v>
      </c>
    </row>
    <row r="10" spans="1:4" x14ac:dyDescent="0.2">
      <c r="A10">
        <f>Feuil1!A10</f>
        <v>9</v>
      </c>
      <c r="B10">
        <f>Feuil1!B10</f>
        <v>1976</v>
      </c>
      <c r="C10" s="2" t="str">
        <f>Feuil1!Q10</f>
        <v>7.0</v>
      </c>
      <c r="D10" s="2" t="str">
        <f>Feuil1!P10</f>
        <v>63</v>
      </c>
    </row>
    <row r="11" spans="1:4" x14ac:dyDescent="0.2">
      <c r="A11">
        <f>Feuil1!A11</f>
        <v>10</v>
      </c>
      <c r="B11">
        <f>Feuil1!B11</f>
        <v>1976</v>
      </c>
      <c r="C11" s="2" t="str">
        <f>Feuil1!Q11</f>
        <v>6.7</v>
      </c>
      <c r="D11" s="2" t="str">
        <f>Feuil1!P11</f>
        <v>38</v>
      </c>
    </row>
    <row r="12" spans="1:4" x14ac:dyDescent="0.2">
      <c r="A12">
        <f>Feuil1!A12</f>
        <v>11</v>
      </c>
      <c r="B12">
        <f>Feuil1!B12</f>
        <v>1977</v>
      </c>
      <c r="C12" s="2" t="str">
        <f>Feuil1!Q12</f>
        <v>6.0</v>
      </c>
      <c r="D12" s="2" t="str">
        <f>Feuil1!P12</f>
        <v>62</v>
      </c>
    </row>
    <row r="13" spans="1:4" x14ac:dyDescent="0.2">
      <c r="A13">
        <f>Feuil1!A13</f>
        <v>12</v>
      </c>
      <c r="B13">
        <f>Feuil1!B13</f>
        <v>1977</v>
      </c>
      <c r="C13" s="2" t="str">
        <f>Feuil1!Q13</f>
        <v>9.0</v>
      </c>
      <c r="D13" s="2" t="str">
        <f>Feuil1!P13</f>
        <v>81</v>
      </c>
    </row>
    <row r="14" spans="1:4" x14ac:dyDescent="0.2">
      <c r="A14">
        <f>Feuil1!A14</f>
        <v>13</v>
      </c>
      <c r="B14">
        <f>Feuil1!B14</f>
        <v>1977</v>
      </c>
      <c r="C14" s="2" t="str">
        <f>Feuil1!Q14</f>
        <v>7.3</v>
      </c>
      <c r="D14" s="2" t="str">
        <f>Feuil1!P14</f>
        <v>58</v>
      </c>
    </row>
    <row r="15" spans="1:4" x14ac:dyDescent="0.2">
      <c r="A15">
        <f>Feuil1!A15</f>
        <v>14</v>
      </c>
      <c r="B15">
        <f>Feuil1!B15</f>
        <v>1977</v>
      </c>
      <c r="C15" s="2" t="str">
        <f>Feuil1!Q15</f>
        <v>4.0</v>
      </c>
      <c r="D15" s="2" t="str">
        <f>Feuil1!P15</f>
        <v>17</v>
      </c>
    </row>
    <row r="16" spans="1:4" x14ac:dyDescent="0.2">
      <c r="A16">
        <f>Feuil1!A16</f>
        <v>15</v>
      </c>
      <c r="B16">
        <f>Feuil1!B16</f>
        <v>1995</v>
      </c>
      <c r="C16" s="2">
        <f>Feuil1!Q16</f>
        <v>0</v>
      </c>
      <c r="D16" s="2">
        <f>Feuil1!P16</f>
        <v>0</v>
      </c>
    </row>
    <row r="17" spans="1:4" x14ac:dyDescent="0.2">
      <c r="A17">
        <f>Feuil1!A17</f>
        <v>16</v>
      </c>
      <c r="B17">
        <f>Feuil1!B17</f>
        <v>1998</v>
      </c>
      <c r="C17" s="2" t="str">
        <f>Feuil1!Q17</f>
        <v>6.0</v>
      </c>
      <c r="D17" s="2" t="str">
        <f>Feuil1!P17</f>
        <v>36</v>
      </c>
    </row>
    <row r="18" spans="1:4" x14ac:dyDescent="0.2">
      <c r="A18">
        <f>Feuil1!A18</f>
        <v>17</v>
      </c>
      <c r="B18">
        <f>Feuil1!B18</f>
        <v>2000</v>
      </c>
      <c r="C18" s="2" t="str">
        <f>Feuil1!Q18</f>
        <v>35.0</v>
      </c>
      <c r="D18" s="2" t="str">
        <f>Feuil1!P18</f>
        <v>2500</v>
      </c>
    </row>
    <row r="19" spans="1:4" x14ac:dyDescent="0.2">
      <c r="A19">
        <f>Feuil1!A19</f>
        <v>18</v>
      </c>
      <c r="B19">
        <f>Feuil1!B19</f>
        <v>2002</v>
      </c>
      <c r="C19" s="2" t="str">
        <f>Feuil1!Q19</f>
        <v>16.0</v>
      </c>
      <c r="D19" s="2" t="str">
        <f>Feuil1!P19</f>
        <v>710</v>
      </c>
    </row>
    <row r="20" spans="1:4" x14ac:dyDescent="0.2">
      <c r="A20">
        <f>Feuil1!A20</f>
        <v>19</v>
      </c>
      <c r="B20">
        <f>Feuil1!B20</f>
        <v>2002</v>
      </c>
      <c r="C20" s="2" t="str">
        <f>Feuil1!Q20</f>
        <v>10.0</v>
      </c>
      <c r="D20" s="2" t="str">
        <f>Feuil1!P20</f>
        <v>80</v>
      </c>
    </row>
    <row r="21" spans="1:4" x14ac:dyDescent="0.2">
      <c r="A21">
        <f>Feuil1!A22</f>
        <v>21</v>
      </c>
      <c r="B21">
        <f>Feuil1!B22</f>
        <v>2006</v>
      </c>
      <c r="C21" s="2" t="str">
        <f>Feuil1!Q22</f>
        <v>24</v>
      </c>
      <c r="D21" s="2" t="str">
        <f>Feuil1!P22</f>
        <v>2000</v>
      </c>
    </row>
    <row r="22" spans="1:4" x14ac:dyDescent="0.2">
      <c r="A22">
        <f>Feuil1!A23</f>
        <v>22</v>
      </c>
      <c r="B22">
        <f>Feuil1!B23</f>
        <v>2007</v>
      </c>
      <c r="C22" s="2" t="str">
        <f>Feuil1!Q23</f>
        <v>5</v>
      </c>
      <c r="D22" s="2" t="str">
        <f>Feuil1!P23</f>
        <v>50</v>
      </c>
    </row>
    <row r="23" spans="1:4" x14ac:dyDescent="0.2">
      <c r="A23">
        <f>Feuil1!A24</f>
        <v>23</v>
      </c>
      <c r="B23">
        <f>Feuil1!B24</f>
        <v>2007</v>
      </c>
      <c r="C23" s="2" t="str">
        <f>Feuil1!Q24</f>
        <v>13.0</v>
      </c>
      <c r="D23" s="2" t="str">
        <f>Feuil1!P24</f>
        <v>170</v>
      </c>
    </row>
    <row r="24" spans="1:4" x14ac:dyDescent="0.2">
      <c r="A24">
        <f>Feuil1!A25</f>
        <v>24</v>
      </c>
      <c r="B24">
        <f>Feuil1!B25</f>
        <v>2011</v>
      </c>
      <c r="C24" s="2" t="str">
        <f>Feuil1!Q25</f>
        <v>15.0</v>
      </c>
      <c r="D24" s="2" t="str">
        <f>Feuil1!P25</f>
        <v>280</v>
      </c>
    </row>
    <row r="25" spans="1:4" x14ac:dyDescent="0.2">
      <c r="A25">
        <f>Feuil1!A26</f>
        <v>25</v>
      </c>
      <c r="B25">
        <f>Feuil1!B26</f>
        <v>2012</v>
      </c>
      <c r="C25" s="2" t="str">
        <f>Feuil1!Q26</f>
        <v>6.5</v>
      </c>
      <c r="D25" s="2" t="str">
        <f>Feuil1!P26</f>
        <v>75</v>
      </c>
    </row>
    <row r="26" spans="1:4" x14ac:dyDescent="0.2">
      <c r="A26">
        <f>Feuil1!A27</f>
        <v>26</v>
      </c>
      <c r="B26">
        <f>Feuil1!B27</f>
        <v>2013</v>
      </c>
      <c r="C26" s="2" t="str">
        <f>Feuil1!Q27</f>
        <v>17.5</v>
      </c>
      <c r="D26" s="2" t="str">
        <f>Feuil1!P27</f>
        <v>350</v>
      </c>
    </row>
    <row r="27" spans="1:4" x14ac:dyDescent="0.2">
      <c r="A27">
        <f>Feuil1!A28</f>
        <v>27</v>
      </c>
      <c r="B27">
        <f>Feuil1!B28</f>
        <v>2013</v>
      </c>
      <c r="C27" s="2" t="str">
        <f>Feuil1!Q28</f>
        <v>13.0</v>
      </c>
      <c r="D27" s="2" t="str">
        <f>Feuil1!P28</f>
        <v>234</v>
      </c>
    </row>
    <row r="28" spans="1:4" x14ac:dyDescent="0.2">
      <c r="A28">
        <f>Feuil1!A29</f>
        <v>28</v>
      </c>
      <c r="B28">
        <f>Feuil1!B29</f>
        <v>2014</v>
      </c>
      <c r="C28" s="2" t="str">
        <f>Feuil1!Q29</f>
        <v>12.0</v>
      </c>
      <c r="D28" s="2" t="str">
        <f>Feuil1!P29</f>
        <v>144</v>
      </c>
    </row>
    <row r="29" spans="1:4" x14ac:dyDescent="0.2">
      <c r="A29">
        <f>Feuil1!A30</f>
        <v>29</v>
      </c>
      <c r="B29">
        <f>Feuil1!B30</f>
        <v>2014</v>
      </c>
      <c r="C29" s="2" t="str">
        <f>Feuil1!Q30</f>
        <v>10.0</v>
      </c>
      <c r="D29" s="2" t="str">
        <f>Feuil1!P30</f>
        <v>100</v>
      </c>
    </row>
    <row r="30" spans="1:4" x14ac:dyDescent="0.2">
      <c r="A30">
        <f>Feuil1!A32</f>
        <v>31</v>
      </c>
      <c r="B30">
        <f>Feuil1!B32</f>
        <v>2016</v>
      </c>
      <c r="C30" s="2" t="str">
        <f>Feuil1!Q32</f>
        <v>7.0</v>
      </c>
      <c r="D30" s="2" t="str">
        <f>Feuil1!P32</f>
        <v>50</v>
      </c>
    </row>
    <row r="31" spans="1:4" x14ac:dyDescent="0.2">
      <c r="A31">
        <f>Feuil1!A33</f>
        <v>32</v>
      </c>
      <c r="B31">
        <f>Feuil1!B33</f>
        <v>2016</v>
      </c>
      <c r="C31" s="2" t="str">
        <f>Feuil1!Q33</f>
        <v>7.0</v>
      </c>
      <c r="D31" s="2" t="str">
        <f>Feuil1!P33</f>
        <v>50</v>
      </c>
    </row>
    <row r="32" spans="1:4" x14ac:dyDescent="0.2">
      <c r="A32">
        <f>Feuil1!A34</f>
        <v>33</v>
      </c>
      <c r="B32">
        <f>Feuil1!B34</f>
        <v>2016</v>
      </c>
      <c r="C32" s="2" t="str">
        <f>Feuil1!Q34</f>
        <v>7.0</v>
      </c>
      <c r="D32" s="2" t="str">
        <f>Feuil1!P34</f>
        <v>50</v>
      </c>
    </row>
    <row r="33" spans="1:4" x14ac:dyDescent="0.2">
      <c r="A33">
        <f>Feuil1!A35</f>
        <v>34</v>
      </c>
      <c r="B33">
        <f>Feuil1!B35</f>
        <v>2016</v>
      </c>
      <c r="C33" s="2" t="str">
        <f>Feuil1!Q35</f>
        <v>10.0</v>
      </c>
      <c r="D33" s="2" t="str">
        <f>Feuil1!P35</f>
        <v>100</v>
      </c>
    </row>
    <row r="34" spans="1:4" x14ac:dyDescent="0.2">
      <c r="C34" s="2"/>
      <c r="D34" s="2"/>
    </row>
    <row r="35" spans="1:4" x14ac:dyDescent="0.2">
      <c r="C35" s="2"/>
      <c r="D35" s="2"/>
    </row>
    <row r="36" spans="1:4" x14ac:dyDescent="0.2">
      <c r="C36" s="2"/>
      <c r="D36" s="2"/>
    </row>
    <row r="37" spans="1:4" x14ac:dyDescent="0.2">
      <c r="C37" s="2"/>
      <c r="D37" s="2"/>
    </row>
    <row r="38" spans="1:4" x14ac:dyDescent="0.2">
      <c r="C38" s="2"/>
      <c r="D38" s="2"/>
    </row>
    <row r="39" spans="1:4" x14ac:dyDescent="0.2">
      <c r="C39" s="2"/>
      <c r="D39"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enableFormatConditionsCalculation="0"/>
  <dimension ref="A1:AA23"/>
  <sheetViews>
    <sheetView topLeftCell="A3" workbookViewId="0">
      <pane xSplit="1" topLeftCell="P1" activePane="topRight" state="frozen"/>
      <selection pane="topRight" activeCell="C27" sqref="C27"/>
    </sheetView>
  </sheetViews>
  <sheetFormatPr baseColWidth="10" defaultRowHeight="16" x14ac:dyDescent="0.2"/>
  <cols>
    <col min="1" max="1" width="17.6640625" style="6" customWidth="1"/>
    <col min="2" max="2" width="29.5" style="6" customWidth="1"/>
    <col min="3" max="20" width="28.33203125" style="5" customWidth="1"/>
    <col min="21" max="27" width="10.83203125" style="3"/>
  </cols>
  <sheetData>
    <row r="1" spans="1:20" x14ac:dyDescent="0.2">
      <c r="B1" s="6" t="s">
        <v>129</v>
      </c>
      <c r="C1" s="5" t="s">
        <v>116</v>
      </c>
      <c r="D1" s="5" t="s">
        <v>130</v>
      </c>
      <c r="E1" s="5" t="s">
        <v>124</v>
      </c>
      <c r="F1" s="5" t="s">
        <v>158</v>
      </c>
      <c r="G1" s="5" t="s">
        <v>190</v>
      </c>
      <c r="H1" s="5" t="s">
        <v>186</v>
      </c>
      <c r="I1" s="5" t="s">
        <v>181</v>
      </c>
      <c r="J1" s="5" t="s">
        <v>172</v>
      </c>
      <c r="K1" s="5" t="s">
        <v>173</v>
      </c>
      <c r="L1" s="5" t="s">
        <v>176</v>
      </c>
      <c r="M1" s="5" t="s">
        <v>1</v>
      </c>
      <c r="N1" s="5" t="s">
        <v>93</v>
      </c>
      <c r="O1" s="5" t="s">
        <v>110</v>
      </c>
      <c r="P1" s="5" t="s">
        <v>98</v>
      </c>
      <c r="Q1" s="5" t="s">
        <v>3</v>
      </c>
      <c r="R1" s="5" t="s">
        <v>2</v>
      </c>
      <c r="S1" s="5" t="s">
        <v>4</v>
      </c>
      <c r="T1" s="5" t="s">
        <v>77</v>
      </c>
    </row>
    <row r="2" spans="1:20" x14ac:dyDescent="0.2">
      <c r="A2" s="6" t="s">
        <v>46</v>
      </c>
      <c r="B2" s="6" t="s">
        <v>150</v>
      </c>
      <c r="C2" s="5" t="s">
        <v>151</v>
      </c>
      <c r="D2" s="5" t="s">
        <v>152</v>
      </c>
      <c r="F2" s="5" t="s">
        <v>159</v>
      </c>
      <c r="G2" s="5" t="s">
        <v>169</v>
      </c>
      <c r="H2" s="5" t="s">
        <v>169</v>
      </c>
      <c r="I2" s="5" t="s">
        <v>169</v>
      </c>
      <c r="J2" s="5" t="s">
        <v>165</v>
      </c>
      <c r="K2" s="5" t="s">
        <v>169</v>
      </c>
      <c r="L2" s="5" t="s">
        <v>169</v>
      </c>
      <c r="P2" s="5" t="s">
        <v>114</v>
      </c>
      <c r="Q2" s="5" t="s">
        <v>15</v>
      </c>
      <c r="R2" s="5" t="s">
        <v>113</v>
      </c>
      <c r="S2" s="5" t="s">
        <v>16</v>
      </c>
    </row>
    <row r="3" spans="1:20" ht="64" x14ac:dyDescent="0.2">
      <c r="A3" s="6" t="s">
        <v>49</v>
      </c>
      <c r="N3" s="8" t="s">
        <v>65</v>
      </c>
      <c r="O3" s="8" t="s">
        <v>111</v>
      </c>
      <c r="P3" s="8" t="s">
        <v>62</v>
      </c>
      <c r="Q3" s="8" t="s">
        <v>48</v>
      </c>
      <c r="S3" s="8" t="s">
        <v>47</v>
      </c>
      <c r="T3" s="8"/>
    </row>
    <row r="4" spans="1:20" x14ac:dyDescent="0.2">
      <c r="A4" s="6" t="s">
        <v>0</v>
      </c>
      <c r="B4" s="6">
        <v>1962</v>
      </c>
      <c r="C4" s="5" t="s">
        <v>118</v>
      </c>
      <c r="D4" s="5" t="s">
        <v>119</v>
      </c>
      <c r="E4" s="5" t="s">
        <v>122</v>
      </c>
      <c r="F4" s="5" t="s">
        <v>157</v>
      </c>
      <c r="G4" s="5" t="s">
        <v>157</v>
      </c>
      <c r="H4" s="5" t="s">
        <v>157</v>
      </c>
      <c r="I4" s="5" t="s">
        <v>125</v>
      </c>
      <c r="J4" s="5" t="s">
        <v>125</v>
      </c>
      <c r="K4" s="5" t="s">
        <v>125</v>
      </c>
      <c r="L4" s="5" t="s">
        <v>125</v>
      </c>
      <c r="M4" s="5" t="s">
        <v>71</v>
      </c>
      <c r="N4" s="5" t="s">
        <v>347</v>
      </c>
      <c r="O4" s="5" t="s">
        <v>112</v>
      </c>
      <c r="P4" s="5" t="s">
        <v>53</v>
      </c>
      <c r="Q4" s="5" t="s">
        <v>50</v>
      </c>
      <c r="R4" s="5" t="s">
        <v>50</v>
      </c>
      <c r="S4" s="5">
        <v>2006</v>
      </c>
      <c r="T4" s="5">
        <v>2006</v>
      </c>
    </row>
    <row r="5" spans="1:20" x14ac:dyDescent="0.2">
      <c r="A5" s="6" t="s">
        <v>27</v>
      </c>
      <c r="B5" s="6" t="s">
        <v>131</v>
      </c>
      <c r="C5" s="5" t="s">
        <v>120</v>
      </c>
      <c r="D5" s="5" t="s">
        <v>121</v>
      </c>
      <c r="E5" s="5" t="s">
        <v>123</v>
      </c>
      <c r="F5" s="5" t="s">
        <v>156</v>
      </c>
      <c r="G5" s="5" t="s">
        <v>197</v>
      </c>
      <c r="H5" s="5" t="s">
        <v>127</v>
      </c>
      <c r="I5" s="5" t="s">
        <v>127</v>
      </c>
      <c r="J5" s="5" t="s">
        <v>166</v>
      </c>
      <c r="K5" s="5" t="s">
        <v>127</v>
      </c>
      <c r="L5" s="5" t="s">
        <v>127</v>
      </c>
      <c r="N5" s="7" t="s">
        <v>97</v>
      </c>
      <c r="O5" s="5" t="s">
        <v>99</v>
      </c>
      <c r="P5" s="5" t="s">
        <v>55</v>
      </c>
      <c r="Q5" s="5" t="s">
        <v>101</v>
      </c>
      <c r="R5" s="5" t="s">
        <v>100</v>
      </c>
      <c r="S5" s="5" t="s">
        <v>102</v>
      </c>
      <c r="T5" s="5" t="s">
        <v>28</v>
      </c>
    </row>
    <row r="6" spans="1:20" x14ac:dyDescent="0.2">
      <c r="A6" s="6" t="s">
        <v>31</v>
      </c>
      <c r="B6" s="5" t="s">
        <v>132</v>
      </c>
      <c r="C6" s="5" t="s">
        <v>132</v>
      </c>
      <c r="D6" s="5" t="s">
        <v>132</v>
      </c>
      <c r="E6" s="5" t="s">
        <v>153</v>
      </c>
      <c r="F6" s="5" t="s">
        <v>199</v>
      </c>
      <c r="G6" s="5" t="s">
        <v>191</v>
      </c>
      <c r="H6" s="5" t="s">
        <v>182</v>
      </c>
      <c r="I6" s="5" t="s">
        <v>182</v>
      </c>
      <c r="J6" s="5" t="s">
        <v>154</v>
      </c>
      <c r="K6" s="5" t="s">
        <v>154</v>
      </c>
      <c r="L6" s="5" t="s">
        <v>154</v>
      </c>
      <c r="M6" s="5" t="s">
        <v>147</v>
      </c>
      <c r="N6" s="5" t="s">
        <v>51</v>
      </c>
      <c r="O6" s="5" t="s">
        <v>89</v>
      </c>
      <c r="P6" s="5" t="s">
        <v>115</v>
      </c>
      <c r="Q6" s="5" t="s">
        <v>51</v>
      </c>
      <c r="S6" s="5" t="s">
        <v>32</v>
      </c>
      <c r="T6" s="5" t="s">
        <v>32</v>
      </c>
    </row>
    <row r="7" spans="1:20" x14ac:dyDescent="0.2">
      <c r="A7" s="6" t="s">
        <v>33</v>
      </c>
      <c r="B7" s="5" t="s">
        <v>132</v>
      </c>
      <c r="C7" s="5" t="s">
        <v>132</v>
      </c>
      <c r="D7" s="5" t="s">
        <v>145</v>
      </c>
      <c r="E7" s="5" t="s">
        <v>153</v>
      </c>
      <c r="F7" s="5" t="s">
        <v>200</v>
      </c>
      <c r="G7" s="5" t="s">
        <v>192</v>
      </c>
      <c r="H7" s="5" t="s">
        <v>182</v>
      </c>
      <c r="I7" s="5" t="s">
        <v>182</v>
      </c>
      <c r="J7" s="5" t="s">
        <v>154</v>
      </c>
      <c r="K7" s="5" t="s">
        <v>154</v>
      </c>
      <c r="L7" s="5" t="s">
        <v>154</v>
      </c>
      <c r="M7" s="5" t="s">
        <v>146</v>
      </c>
      <c r="N7" s="5" t="s">
        <v>54</v>
      </c>
      <c r="O7" s="5" t="s">
        <v>14</v>
      </c>
      <c r="P7" s="5" t="s">
        <v>14</v>
      </c>
      <c r="Q7" s="5" t="s">
        <v>64</v>
      </c>
      <c r="S7" s="5" t="s">
        <v>64</v>
      </c>
      <c r="T7" s="5" t="s">
        <v>14</v>
      </c>
    </row>
    <row r="8" spans="1:20" x14ac:dyDescent="0.2">
      <c r="A8" s="6" t="s">
        <v>34</v>
      </c>
      <c r="B8" s="6" t="s">
        <v>133</v>
      </c>
      <c r="E8" s="5" t="s">
        <v>124</v>
      </c>
      <c r="G8" s="5" t="s">
        <v>133</v>
      </c>
      <c r="H8" s="5" t="s">
        <v>133</v>
      </c>
      <c r="I8" s="5" t="s">
        <v>133</v>
      </c>
      <c r="K8" s="5" t="s">
        <v>133</v>
      </c>
      <c r="L8" s="5" t="s">
        <v>133</v>
      </c>
      <c r="O8" s="5" t="s">
        <v>35</v>
      </c>
      <c r="P8" s="7" t="s">
        <v>59</v>
      </c>
      <c r="Q8" s="5" t="s">
        <v>35</v>
      </c>
      <c r="S8" s="5" t="s">
        <v>35</v>
      </c>
      <c r="T8" s="5" t="s">
        <v>35</v>
      </c>
    </row>
    <row r="9" spans="1:20" ht="32" x14ac:dyDescent="0.2">
      <c r="A9" s="6" t="s">
        <v>52</v>
      </c>
      <c r="G9" s="5" t="s">
        <v>175</v>
      </c>
      <c r="H9" s="5" t="s">
        <v>175</v>
      </c>
      <c r="I9" s="5" t="s">
        <v>175</v>
      </c>
      <c r="J9" s="5" t="s">
        <v>174</v>
      </c>
      <c r="K9" s="5" t="s">
        <v>175</v>
      </c>
      <c r="L9" s="5" t="s">
        <v>175</v>
      </c>
      <c r="R9" s="5" t="s">
        <v>103</v>
      </c>
    </row>
    <row r="10" spans="1:20" x14ac:dyDescent="0.2">
      <c r="A10" s="6" t="s">
        <v>26</v>
      </c>
      <c r="C10" s="5" t="s">
        <v>134</v>
      </c>
      <c r="E10" s="5" t="s">
        <v>155</v>
      </c>
      <c r="F10" s="5" t="s">
        <v>206</v>
      </c>
      <c r="G10" s="5" t="s">
        <v>193</v>
      </c>
      <c r="H10" s="5" t="s">
        <v>187</v>
      </c>
      <c r="I10" s="5" t="s">
        <v>185</v>
      </c>
      <c r="J10" s="5" t="s">
        <v>161</v>
      </c>
      <c r="K10" s="5" t="s">
        <v>170</v>
      </c>
      <c r="L10" s="5" t="s">
        <v>180</v>
      </c>
      <c r="M10" s="5" t="s">
        <v>72</v>
      </c>
      <c r="O10" s="5" t="s">
        <v>82</v>
      </c>
      <c r="P10" s="5" t="s">
        <v>56</v>
      </c>
      <c r="Q10" s="5" t="s">
        <v>66</v>
      </c>
      <c r="S10" s="5" t="s">
        <v>36</v>
      </c>
      <c r="T10" s="5" t="s">
        <v>78</v>
      </c>
    </row>
    <row r="11" spans="1:20" x14ac:dyDescent="0.2">
      <c r="A11" s="6" t="s">
        <v>202</v>
      </c>
      <c r="E11" s="5" t="s">
        <v>203</v>
      </c>
      <c r="F11" s="5" t="s">
        <v>207</v>
      </c>
    </row>
    <row r="12" spans="1:20" x14ac:dyDescent="0.2">
      <c r="A12" s="6" t="s">
        <v>41</v>
      </c>
      <c r="S12" s="5" t="s">
        <v>42</v>
      </c>
    </row>
    <row r="13" spans="1:20" ht="32" x14ac:dyDescent="0.2">
      <c r="A13" s="6" t="s">
        <v>19</v>
      </c>
      <c r="B13" s="6" t="s">
        <v>137</v>
      </c>
      <c r="C13" s="5" t="s">
        <v>73</v>
      </c>
      <c r="D13" s="5" t="s">
        <v>73</v>
      </c>
      <c r="E13" s="5" t="s">
        <v>126</v>
      </c>
      <c r="F13" s="5" t="s">
        <v>137</v>
      </c>
      <c r="G13" s="5" t="s">
        <v>194</v>
      </c>
      <c r="H13" s="5" t="s">
        <v>188</v>
      </c>
      <c r="I13" s="5" t="s">
        <v>183</v>
      </c>
      <c r="J13" s="5" t="s">
        <v>162</v>
      </c>
      <c r="K13" s="5" t="s">
        <v>126</v>
      </c>
      <c r="L13" s="5" t="s">
        <v>137</v>
      </c>
      <c r="M13" s="5" t="s">
        <v>73</v>
      </c>
      <c r="N13" s="5" t="s">
        <v>350</v>
      </c>
      <c r="O13" s="5" t="s">
        <v>83</v>
      </c>
      <c r="P13" s="5" t="s">
        <v>61</v>
      </c>
      <c r="Q13" s="5" t="s">
        <v>69</v>
      </c>
      <c r="R13" s="5" t="s">
        <v>104</v>
      </c>
      <c r="S13" s="5" t="s">
        <v>17</v>
      </c>
      <c r="T13" s="5" t="s">
        <v>79</v>
      </c>
    </row>
    <row r="14" spans="1:20" x14ac:dyDescent="0.2">
      <c r="A14" s="6" t="s">
        <v>18</v>
      </c>
      <c r="B14" s="6" t="s">
        <v>57</v>
      </c>
      <c r="C14" s="5" t="s">
        <v>57</v>
      </c>
      <c r="D14" s="5" t="s">
        <v>57</v>
      </c>
      <c r="E14" s="5" t="s">
        <v>57</v>
      </c>
      <c r="G14" s="5" t="s">
        <v>57</v>
      </c>
      <c r="H14" s="5" t="s">
        <v>57</v>
      </c>
      <c r="I14" s="5" t="s">
        <v>57</v>
      </c>
      <c r="J14" s="5" t="s">
        <v>20</v>
      </c>
      <c r="K14" s="5" t="s">
        <v>57</v>
      </c>
      <c r="L14" s="5" t="s">
        <v>57</v>
      </c>
      <c r="M14" s="5" t="s">
        <v>20</v>
      </c>
      <c r="O14" s="5" t="s">
        <v>57</v>
      </c>
      <c r="P14" s="5" t="s">
        <v>57</v>
      </c>
      <c r="Q14" s="5" t="s">
        <v>20</v>
      </c>
      <c r="R14" s="5" t="s">
        <v>57</v>
      </c>
      <c r="S14" s="5" t="s">
        <v>30</v>
      </c>
      <c r="T14" s="5" t="s">
        <v>30</v>
      </c>
    </row>
    <row r="15" spans="1:20" x14ac:dyDescent="0.2">
      <c r="A15" s="6" t="s">
        <v>29</v>
      </c>
      <c r="M15" s="5" t="s">
        <v>74</v>
      </c>
      <c r="P15" s="5" t="s">
        <v>58</v>
      </c>
    </row>
    <row r="16" spans="1:20" x14ac:dyDescent="0.2">
      <c r="A16" s="6" t="s">
        <v>23</v>
      </c>
      <c r="B16" s="6" t="s">
        <v>75</v>
      </c>
      <c r="C16" s="5" t="s">
        <v>149</v>
      </c>
      <c r="D16" s="5" t="s">
        <v>144</v>
      </c>
      <c r="E16" s="5" t="s">
        <v>75</v>
      </c>
      <c r="F16" s="5" t="s">
        <v>140</v>
      </c>
      <c r="G16" s="5" t="s">
        <v>195</v>
      </c>
      <c r="H16" s="5" t="s">
        <v>140</v>
      </c>
      <c r="I16" s="5" t="s">
        <v>140</v>
      </c>
      <c r="J16" s="5" t="s">
        <v>167</v>
      </c>
      <c r="K16" s="5" t="s">
        <v>140</v>
      </c>
      <c r="L16" s="5" t="s">
        <v>179</v>
      </c>
      <c r="M16" s="5" t="s">
        <v>75</v>
      </c>
      <c r="O16" s="5" t="s">
        <v>85</v>
      </c>
      <c r="P16" s="5" t="s">
        <v>67</v>
      </c>
      <c r="Q16" s="5" t="s">
        <v>67</v>
      </c>
      <c r="R16" s="5" t="s">
        <v>106</v>
      </c>
      <c r="S16" s="5" t="s">
        <v>67</v>
      </c>
      <c r="T16" s="5" t="s">
        <v>67</v>
      </c>
    </row>
    <row r="17" spans="1:20" ht="32" x14ac:dyDescent="0.2">
      <c r="A17" s="6" t="s">
        <v>21</v>
      </c>
      <c r="C17" s="5" t="s">
        <v>135</v>
      </c>
      <c r="D17" s="5" t="s">
        <v>136</v>
      </c>
      <c r="E17" s="5" t="s">
        <v>139</v>
      </c>
      <c r="F17" s="5" t="s">
        <v>201</v>
      </c>
      <c r="G17" s="5" t="s">
        <v>196</v>
      </c>
      <c r="H17" s="5" t="s">
        <v>189</v>
      </c>
      <c r="I17" s="5" t="s">
        <v>184</v>
      </c>
      <c r="J17" s="5" t="s">
        <v>163</v>
      </c>
      <c r="K17" s="5" t="s">
        <v>171</v>
      </c>
      <c r="L17" s="5" t="s">
        <v>178</v>
      </c>
      <c r="M17" s="5" t="s">
        <v>76</v>
      </c>
      <c r="N17" s="5" t="s">
        <v>94</v>
      </c>
      <c r="O17" s="5" t="s">
        <v>87</v>
      </c>
      <c r="P17" s="5" t="s">
        <v>148</v>
      </c>
      <c r="Q17" s="5" t="s">
        <v>68</v>
      </c>
      <c r="R17" s="5" t="s">
        <v>105</v>
      </c>
      <c r="S17" s="5" t="s">
        <v>25</v>
      </c>
      <c r="T17" s="5" t="s">
        <v>81</v>
      </c>
    </row>
    <row r="18" spans="1:20" ht="48" x14ac:dyDescent="0.2">
      <c r="A18" s="6" t="s">
        <v>24</v>
      </c>
      <c r="C18" s="5" t="s">
        <v>142</v>
      </c>
      <c r="D18" s="5" t="s">
        <v>141</v>
      </c>
      <c r="E18" s="5" t="s">
        <v>142</v>
      </c>
      <c r="F18" s="5" t="s">
        <v>204</v>
      </c>
      <c r="J18" s="5" t="s">
        <v>164</v>
      </c>
      <c r="L18" s="5" t="s">
        <v>177</v>
      </c>
      <c r="M18" s="5" t="s">
        <v>143</v>
      </c>
      <c r="O18" s="5" t="s">
        <v>84</v>
      </c>
      <c r="P18" s="5" t="s">
        <v>70</v>
      </c>
      <c r="Q18" s="5" t="s">
        <v>60</v>
      </c>
      <c r="R18" s="5" t="s">
        <v>107</v>
      </c>
      <c r="S18" s="5" t="s">
        <v>108</v>
      </c>
      <c r="T18" s="5" t="s">
        <v>80</v>
      </c>
    </row>
    <row r="19" spans="1:20" ht="208" x14ac:dyDescent="0.2">
      <c r="A19" s="6" t="s">
        <v>43</v>
      </c>
      <c r="S19" s="5" t="s">
        <v>44</v>
      </c>
    </row>
    <row r="20" spans="1:20" ht="96" x14ac:dyDescent="0.2">
      <c r="A20" s="6" t="s">
        <v>40</v>
      </c>
      <c r="S20" s="5" t="s">
        <v>45</v>
      </c>
    </row>
    <row r="21" spans="1:20" ht="192" x14ac:dyDescent="0.2">
      <c r="A21" s="6" t="s">
        <v>37</v>
      </c>
      <c r="B21" s="6" t="s">
        <v>138</v>
      </c>
      <c r="C21" s="5" t="s">
        <v>138</v>
      </c>
      <c r="M21" s="5" t="s">
        <v>91</v>
      </c>
      <c r="O21" s="5" t="s">
        <v>90</v>
      </c>
      <c r="P21" s="5" t="s">
        <v>92</v>
      </c>
      <c r="S21" s="5" t="s">
        <v>39</v>
      </c>
    </row>
    <row r="23" spans="1:20" ht="80" x14ac:dyDescent="0.2">
      <c r="A23" s="6" t="s">
        <v>22</v>
      </c>
      <c r="F23" s="5" t="s">
        <v>205</v>
      </c>
      <c r="G23" s="5" t="s">
        <v>198</v>
      </c>
      <c r="H23" s="5" t="s">
        <v>168</v>
      </c>
      <c r="I23" s="5" t="s">
        <v>168</v>
      </c>
      <c r="J23" s="5" t="s">
        <v>168</v>
      </c>
      <c r="N23" s="5" t="s">
        <v>95</v>
      </c>
      <c r="P23" s="5" t="s">
        <v>63</v>
      </c>
      <c r="R23" s="5" t="s">
        <v>109</v>
      </c>
      <c r="S23" s="5" t="s">
        <v>38</v>
      </c>
    </row>
  </sheetData>
  <hyperlinks>
    <hyperlink ref="S3" r:id="rId1"/>
    <hyperlink ref="Q3" r:id="rId2"/>
    <hyperlink ref="P3" r:id="rId3"/>
    <hyperlink ref="O3" r:id="rId4"/>
    <hyperlink ref="N3"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3</vt:i4>
      </vt:variant>
    </vt:vector>
  </HeadingPairs>
  <TitlesOfParts>
    <vt:vector size="3" baseType="lpstr">
      <vt:lpstr>Feuil1</vt:lpstr>
      <vt:lpstr>Buble</vt:lpstr>
      <vt:lpstr>Feuil2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Lionel du Peloux</dc:creator>
  <cp:lastModifiedBy>Lionel du Peloux</cp:lastModifiedBy>
  <dcterms:created xsi:type="dcterms:W3CDTF">2017-07-24T10:27:02Z</dcterms:created>
  <dcterms:modified xsi:type="dcterms:W3CDTF">2017-08-02T22:28:16Z</dcterms:modified>
</cp:coreProperties>
</file>